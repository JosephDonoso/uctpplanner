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S" sheetId="1" r:id="rId5"/>
    <sheet state="visible" name="test.generado-DisponibilidadDoc" sheetId="2" r:id="rId6"/>
    <sheet state="visible" name="test.generado-HorarioDocente" sheetId="3" r:id="rId7"/>
    <sheet state="visible" name="test.generado-HorarioMaestro" sheetId="4" r:id="rId8"/>
    <sheet state="visible" name="test.generado-Asignaturas" sheetId="5" r:id="rId9"/>
    <sheet state="visible" name="test.generado-Profesores" sheetId="6" r:id="rId10"/>
    <sheet state="visible" name="test.generado-Alumnos" sheetId="7" r:id="rId11"/>
    <sheet state="visible" name="Evaluación de FO" sheetId="8" r:id="rId12"/>
  </sheets>
  <definedNames>
    <definedName hidden="1" localSheetId="0" name="_xlnm._FilterDatabase">MALLAS!$A$1:$R$226</definedName>
    <definedName hidden="1" localSheetId="0" name="Z_A9715777_7F8A_42CE_91F1_AF36693B8730_.wvu.FilterData">MALLAS!$A$1:$R$226</definedName>
  </definedNames>
  <calcPr/>
  <customWorkbookViews>
    <customWorkbookView activeSheetId="0" maximized="1" windowHeight="0" windowWidth="0" guid="{A9715777-7F8A-42CE-91F1-AF36693B8730}" name="GIN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6">
      <text>
        <t xml:space="preserve">+ayudantía de taller
</t>
      </text>
    </comment>
    <comment authorId="0" ref="Q54">
      <text>
        <t xml:space="preserve">+ayudantía de taller
</t>
      </text>
    </comment>
    <comment authorId="0" ref="Q56">
      <text>
        <t xml:space="preserve">+ayudantía de taller
</t>
      </text>
    </comment>
    <comment authorId="0" ref="Q85">
      <text>
        <t xml:space="preserve">+ayudantía de taller
</t>
      </text>
    </comment>
    <comment authorId="0" ref="Q163">
      <text>
        <t xml:space="preserve">+ayudantía de taller
</t>
      </text>
    </comment>
    <comment authorId="0" ref="Q174">
      <text>
        <t xml:space="preserve">+ayudantía de taller
</t>
      </text>
    </comment>
    <comment authorId="0" ref="Q189">
      <text>
        <t xml:space="preserve">+ayudantía de taller
</t>
      </text>
    </comment>
  </commentList>
</comments>
</file>

<file path=xl/sharedStrings.xml><?xml version="1.0" encoding="utf-8"?>
<sst xmlns="http://schemas.openxmlformats.org/spreadsheetml/2006/main" count="7877" uniqueCount="3272">
  <si>
    <t>Clave</t>
  </si>
  <si>
    <t>Nombre Asignatura</t>
  </si>
  <si>
    <t>Cr.</t>
  </si>
  <si>
    <t>SCT</t>
  </si>
  <si>
    <t>Pre-requisitos</t>
  </si>
  <si>
    <t>Semestre</t>
  </si>
  <si>
    <t>Homologaciones</t>
  </si>
  <si>
    <t>SeDicta?</t>
  </si>
  <si>
    <t>Se Dicta Homologable?</t>
  </si>
  <si>
    <t>Carrera</t>
  </si>
  <si>
    <t>curs</t>
  </si>
  <si>
    <t>max</t>
  </si>
  <si>
    <t>prob_aprob</t>
  </si>
  <si>
    <t>max 2</t>
  </si>
  <si>
    <t>CÁTEDRA</t>
  </si>
  <si>
    <t>AYUDANTIA</t>
  </si>
  <si>
    <t>TALLER</t>
  </si>
  <si>
    <t>LABORATORIO</t>
  </si>
  <si>
    <t>ICD1401</t>
  </si>
  <si>
    <t>BIENESTAR,APRENDIZAJE UNIVERSITARIO</t>
  </si>
  <si>
    <t>ICI1458</t>
  </si>
  <si>
    <t>ICD</t>
  </si>
  <si>
    <t>ICD1341</t>
  </si>
  <si>
    <t>FUNDAMENTOS DE ALGORITMOS</t>
  </si>
  <si>
    <t>INF1211,INF1141,ICI1141,INF298,ICI1241</t>
  </si>
  <si>
    <t>ICD1140</t>
  </si>
  <si>
    <t>INTRODUCCION A LA INGENIERIA EN CIENCIA DE DATOS</t>
  </si>
  <si>
    <t>INF1212,FIN110</t>
  </si>
  <si>
    <t>MAT1001</t>
  </si>
  <si>
    <t>FUNDAMENTOS DE MATEMATICAS PARA INGENIERIA</t>
  </si>
  <si>
    <t>MAT1196,MAT1197</t>
  </si>
  <si>
    <t>FIN100-14</t>
  </si>
  <si>
    <t>DESARROLLO INTEGRAL,COMUNICACION PARA INGENIERIA</t>
  </si>
  <si>
    <t>FIN100-73,FIN100-15,FIN100-11,FIN100-16,FIN100-12,FIN100-296,FIN100-7,FIN100</t>
  </si>
  <si>
    <t>ICD1342</t>
  </si>
  <si>
    <t>FUNDAMENTOS DE PROGRAMACION</t>
  </si>
  <si>
    <t>INF1214,INF1142,ICI1142,ICI1242</t>
  </si>
  <si>
    <t>MAT1002</t>
  </si>
  <si>
    <t>CALCULO DIFERENCIAL E INTEGRAL</t>
  </si>
  <si>
    <t>MAT2178,MAT2188</t>
  </si>
  <si>
    <t>MAT1004</t>
  </si>
  <si>
    <t>ALGEBRA LINEAL</t>
  </si>
  <si>
    <t>MAT1169,MAT1167</t>
  </si>
  <si>
    <t>IER010</t>
  </si>
  <si>
    <t>ANTROPOLOGIA CRISTIANA</t>
  </si>
  <si>
    <t>ICD2243</t>
  </si>
  <si>
    <t>INTRODUCCION AL ANALISIS DE DATOS</t>
  </si>
  <si>
    <t>ICD1140,MAT1004</t>
  </si>
  <si>
    <t>ICD2344</t>
  </si>
  <si>
    <t>ESTRUCTURA DE DATOS</t>
  </si>
  <si>
    <t>INF2223,INF2240,ICI2240</t>
  </si>
  <si>
    <t>FIS1002</t>
  </si>
  <si>
    <t>FISICA PARA INGENIERIA</t>
  </si>
  <si>
    <t>FIS2109,FIS2115</t>
  </si>
  <si>
    <t>MAT1003</t>
  </si>
  <si>
    <t>CALCULO EN VARIAS VARIABLES</t>
  </si>
  <si>
    <t>MAT2198</t>
  </si>
  <si>
    <t>ING9001</t>
  </si>
  <si>
    <t>INGLES 1</t>
  </si>
  <si>
    <t>FIS2120</t>
  </si>
  <si>
    <t>FISICA ELECTROMAGNETISMO</t>
  </si>
  <si>
    <t>ICD2145</t>
  </si>
  <si>
    <t>CIENCIA,TECNOLOGIA</t>
  </si>
  <si>
    <t>ICI3150</t>
  </si>
  <si>
    <t>ICD2346</t>
  </si>
  <si>
    <t>PARADIGMAS DE PROGRAMACION</t>
  </si>
  <si>
    <t>MAT3105</t>
  </si>
  <si>
    <t>ECUACIONES DIFERENCIALES</t>
  </si>
  <si>
    <t>ICD2347</t>
  </si>
  <si>
    <t>ANALISIS,DISEÑO DE ALGORITMOS</t>
  </si>
  <si>
    <t>ICI2242</t>
  </si>
  <si>
    <t>ING9002</t>
  </si>
  <si>
    <t>INGLES 2</t>
  </si>
  <si>
    <t>FIS3149</t>
  </si>
  <si>
    <t>FISICA MODERNA</t>
  </si>
  <si>
    <t>ICD3149</t>
  </si>
  <si>
    <t>TEORIA DE SISTEMAS</t>
  </si>
  <si>
    <t>ICI2140</t>
  </si>
  <si>
    <t>ICD3148</t>
  </si>
  <si>
    <t>ESTADISTICA COMPUTACIONAL</t>
  </si>
  <si>
    <t>ICI3170</t>
  </si>
  <si>
    <t>ICD3350</t>
  </si>
  <si>
    <t>BASE DE DATOS</t>
  </si>
  <si>
    <t>INF2235,INF2243,ICI3243,ICI3240</t>
  </si>
  <si>
    <t>ING9003</t>
  </si>
  <si>
    <t>INGLES 3</t>
  </si>
  <si>
    <t>ICD3151</t>
  </si>
  <si>
    <t>METODOS NUMERICOS</t>
  </si>
  <si>
    <t>ICI3140</t>
  </si>
  <si>
    <t>ICD3152</t>
  </si>
  <si>
    <t>ESTADISTICA AVANZADA</t>
  </si>
  <si>
    <t>ICD3153</t>
  </si>
  <si>
    <t>INTELIGENCIA ARTIFICIAL</t>
  </si>
  <si>
    <t>ICI5240,ICI3244</t>
  </si>
  <si>
    <t>ICD3255</t>
  </si>
  <si>
    <t>ANALISIS INTELIGENTE DE DATOS</t>
  </si>
  <si>
    <t>ICD3354</t>
  </si>
  <si>
    <t>HARDWARE,SISTEMAS OPERATIVOS</t>
  </si>
  <si>
    <t>INF2322,INF2341,ICI2341,ICI3344</t>
  </si>
  <si>
    <t>ING9004</t>
  </si>
  <si>
    <t>INGLES 4</t>
  </si>
  <si>
    <t>ICA2121</t>
  </si>
  <si>
    <t>ADMINISTRACION DE EMPRESAS</t>
  </si>
  <si>
    <t>ICA4121,ICA2120</t>
  </si>
  <si>
    <t>ICD4156</t>
  </si>
  <si>
    <t>OPTIMIZACION 1</t>
  </si>
  <si>
    <t>ICI4144,INF3144,ICI4151,INF3136</t>
  </si>
  <si>
    <t>ICD4157</t>
  </si>
  <si>
    <t>ANALISIS DE SERIES DE TIEMPO</t>
  </si>
  <si>
    <t>ICD4258</t>
  </si>
  <si>
    <t>APRENDIZAJE AUTOMATICO 1</t>
  </si>
  <si>
    <t>ICD4359</t>
  </si>
  <si>
    <t>ALMACENAMIENTO,RECUPERACION DE DATOS</t>
  </si>
  <si>
    <t>ICD4160</t>
  </si>
  <si>
    <t>OPTIMIZACION 2</t>
  </si>
  <si>
    <t>ICI5142</t>
  </si>
  <si>
    <t>ICD4262</t>
  </si>
  <si>
    <t>APRENDIZAJE AUTOMATICO 2</t>
  </si>
  <si>
    <t>ICD4363</t>
  </si>
  <si>
    <t>REDES DE COMPUTADORES</t>
  </si>
  <si>
    <t>INF2324,INF3340,ICI3343</t>
  </si>
  <si>
    <t>ICD4461</t>
  </si>
  <si>
    <t>METODOLOGIA DE DESARROLLO DE SOFTWARE</t>
  </si>
  <si>
    <t>INF3241,INF2237</t>
  </si>
  <si>
    <t>ICA5164</t>
  </si>
  <si>
    <t>ECONOMIA,FINANZAS</t>
  </si>
  <si>
    <t>INF3132,INF3140,ICA4161</t>
  </si>
  <si>
    <t>ICD5167</t>
  </si>
  <si>
    <t>CIENCIA DE REDES</t>
  </si>
  <si>
    <t>ICD5468</t>
  </si>
  <si>
    <t>TALLER DE LIDERAZGO,TRABAJO EN EQUIPO</t>
  </si>
  <si>
    <t>ICI5476</t>
  </si>
  <si>
    <t>ICD5366</t>
  </si>
  <si>
    <t>COMPUTACION PARALELA,DISTRIBUIDA</t>
  </si>
  <si>
    <t>ICD5465</t>
  </si>
  <si>
    <t>VISUALIZACION DE DATOS</t>
  </si>
  <si>
    <t>ICD5471</t>
  </si>
  <si>
    <t>NEGOCIOS, INNOVACION,EMPRENDIMIENTO</t>
  </si>
  <si>
    <t>FIN220,ICI5475</t>
  </si>
  <si>
    <t>ICD5369</t>
  </si>
  <si>
    <t>BIG DATA</t>
  </si>
  <si>
    <t>ICD5570</t>
  </si>
  <si>
    <t>SEMINARIO DE TITULO</t>
  </si>
  <si>
    <t>ICD6473</t>
  </si>
  <si>
    <t>PRIVACIDAD, ETICA,SEGURIDAD</t>
  </si>
  <si>
    <t>ICD6572</t>
  </si>
  <si>
    <t>PROYECTO DE TITULO</t>
  </si>
  <si>
    <t>ICI</t>
  </si>
  <si>
    <t/>
  </si>
  <si>
    <t>ICI1241</t>
  </si>
  <si>
    <t>ICI1141,INF1141,ICD1341,INF1211,INF298</t>
  </si>
  <si>
    <t>ICI1243</t>
  </si>
  <si>
    <t>INTRODUCCION A LA INGENIERIA INFORMATICA</t>
  </si>
  <si>
    <t>MAT1197,MAT1196</t>
  </si>
  <si>
    <t>ICI1242</t>
  </si>
  <si>
    <t>ICI1142,INF1142,ICD1342,INF1214</t>
  </si>
  <si>
    <t>MAT2188,MAT2178</t>
  </si>
  <si>
    <t>MAT1167,MAT1169</t>
  </si>
  <si>
    <t>ICI2145</t>
  </si>
  <si>
    <t>ICI2240</t>
  </si>
  <si>
    <t>INF2240,ICD2344,INF2223</t>
  </si>
  <si>
    <t>FIS2115,FIS2109</t>
  </si>
  <si>
    <t>ICI2141</t>
  </si>
  <si>
    <t>ICI2241</t>
  </si>
  <si>
    <t>PROGRAMACION AVANZADA</t>
  </si>
  <si>
    <t>ICI3245</t>
  </si>
  <si>
    <t>AUTOMATAS,COMPILADORES</t>
  </si>
  <si>
    <t>ICI3240</t>
  </si>
  <si>
    <t>ICI3243,INF2243,ICD3350,INF2235</t>
  </si>
  <si>
    <t>ICI3244</t>
  </si>
  <si>
    <t>ICI5240,ICD3153</t>
  </si>
  <si>
    <t>ICI3344</t>
  </si>
  <si>
    <t>ICI2341,INF2341,ICD3354,INF2322</t>
  </si>
  <si>
    <t>ICA4121</t>
  </si>
  <si>
    <t>ICA2121,ICA2120</t>
  </si>
  <si>
    <t>ICI3246</t>
  </si>
  <si>
    <t>MODELAMIENTO DE SOFTWARE</t>
  </si>
  <si>
    <t>ICI3343</t>
  </si>
  <si>
    <t>ICI4340,INF3340,ICD4363,INF2324</t>
  </si>
  <si>
    <t>ICI4150</t>
  </si>
  <si>
    <t>ROBOTICA,SISTEMAS AUTONOMOS</t>
  </si>
  <si>
    <t>ICI4151</t>
  </si>
  <si>
    <t>OPTIMIZACION</t>
  </si>
  <si>
    <t>ICI4144,ICD4156,INF3136</t>
  </si>
  <si>
    <t>ICI4244</t>
  </si>
  <si>
    <t>INGENIERIA DE SOFTWARE</t>
  </si>
  <si>
    <t>ICI4241,INF3241,INF2237</t>
  </si>
  <si>
    <t>ICI4247</t>
  </si>
  <si>
    <t>INGENIERIA WEB,MOVIL</t>
  </si>
  <si>
    <t>ICI4344</t>
  </si>
  <si>
    <t>ICI5341</t>
  </si>
  <si>
    <t>ICA4161</t>
  </si>
  <si>
    <t>ICI4140,INF3140,ICD5164,INF3132</t>
  </si>
  <si>
    <t>ICI4248</t>
  </si>
  <si>
    <t>INGENIERIA DE REQUERIMIENTOS</t>
  </si>
  <si>
    <t>ICI4370</t>
  </si>
  <si>
    <t>CIBERSEGURIDAD</t>
  </si>
  <si>
    <t>ICI4541</t>
  </si>
  <si>
    <t>TALLER DE BASE DE DATOS</t>
  </si>
  <si>
    <t>ICI5247</t>
  </si>
  <si>
    <t>EXPERIENCIA DE USUARIO</t>
  </si>
  <si>
    <t>ICI5441</t>
  </si>
  <si>
    <t>ADMINISTRACION DE PROYECTOS INFORMATICOS</t>
  </si>
  <si>
    <t>ICI5475</t>
  </si>
  <si>
    <t>ICD5471,FIN220</t>
  </si>
  <si>
    <t>ICI5442</t>
  </si>
  <si>
    <t>TECNOLOGIAS EMERGENTES</t>
  </si>
  <si>
    <t>ICI5545</t>
  </si>
  <si>
    <t>TALLER DE INGENIERIA DE SOFTWARE</t>
  </si>
  <si>
    <t>ICI4540,INF4540,INF4552</t>
  </si>
  <si>
    <t>ICI5345</t>
  </si>
  <si>
    <t>LEGISLACION ETICA,TECNOLOGICA</t>
  </si>
  <si>
    <t>ICI5444</t>
  </si>
  <si>
    <t>TALLER DE FORMULACION DE PROYECTOS INFORMATICOS</t>
  </si>
  <si>
    <t>ICI5543</t>
  </si>
  <si>
    <t>ICI5541</t>
  </si>
  <si>
    <t>ICI6540</t>
  </si>
  <si>
    <t>ICI6541</t>
  </si>
  <si>
    <r>
      <rPr>
        <rFont val="Roboto"/>
        <color theme="1"/>
        <sz val="11.0"/>
      </rPr>
      <t>ICI1240</t>
    </r>
  </si>
  <si>
    <t>INF1240,INF1212</t>
  </si>
  <si>
    <t>ICI_</t>
  </si>
  <si>
    <r>
      <rPr>
        <rFont val="Roboto"/>
        <color theme="1"/>
        <sz val="11.0"/>
      </rPr>
      <t>ICI1140</t>
    </r>
  </si>
  <si>
    <t>ELECTRONICA DIGITAL</t>
  </si>
  <si>
    <t>INF1140,EIE325</t>
  </si>
  <si>
    <r>
      <rPr>
        <rFont val="Roboto"/>
        <color theme="1"/>
        <sz val="11.0"/>
      </rPr>
      <t>ICI1141</t>
    </r>
  </si>
  <si>
    <t>ICI1241,INF1211,INF1141,ICI140</t>
  </si>
  <si>
    <r>
      <rPr>
        <rFont val="Roboto"/>
        <color theme="1"/>
        <sz val="11.0"/>
      </rPr>
      <t>MAT1197</t>
    </r>
  </si>
  <si>
    <t>FUNDAMENTOS DE MATEMATICAS</t>
  </si>
  <si>
    <t>MAT1001,MAT1004,MAT1196,MAT116</t>
  </si>
  <si>
    <r>
      <rPr>
        <rFont val="Roboto"/>
        <color theme="1"/>
        <sz val="11.0"/>
      </rPr>
      <t>QUI1138</t>
    </r>
  </si>
  <si>
    <t>QUIMICA GENERAL</t>
  </si>
  <si>
    <t>QUI127,QUI1149</t>
  </si>
  <si>
    <r>
      <rPr>
        <rFont val="Roboto"/>
        <color theme="1"/>
        <sz val="11.0"/>
      </rPr>
      <t>ICI1142</t>
    </r>
  </si>
  <si>
    <t>ICI1141</t>
  </si>
  <si>
    <t>ICI142,ICI1242,INF1214,INF1142</t>
  </si>
  <si>
    <r>
      <rPr>
        <rFont val="Roboto"/>
        <color theme="1"/>
        <sz val="11.0"/>
      </rPr>
      <t>MAT1167</t>
    </r>
  </si>
  <si>
    <t>MAT1197</t>
  </si>
  <si>
    <t>MAT127,MAT1169,MAT1004</t>
  </si>
  <si>
    <r>
      <rPr>
        <rFont val="Roboto"/>
        <color theme="1"/>
        <sz val="11.0"/>
      </rPr>
      <t>MAT1177</t>
    </r>
  </si>
  <si>
    <t>CALCULO DIFERENCIAL</t>
  </si>
  <si>
    <t>MAT1002,MAT1166,MAT115</t>
  </si>
  <si>
    <r>
      <rPr>
        <rFont val="Roboto"/>
        <color theme="1"/>
        <sz val="11.0"/>
      </rPr>
      <t>FIS2115</t>
    </r>
  </si>
  <si>
    <t>FISICA GENERAL MECANICA</t>
  </si>
  <si>
    <t>MAT1177</t>
  </si>
  <si>
    <t>FIS133,FIS1002,FIS2109</t>
  </si>
  <si>
    <r>
      <rPr>
        <rFont val="Roboto"/>
        <color theme="1"/>
        <sz val="11.0"/>
      </rPr>
      <t>ICA2121</t>
    </r>
  </si>
  <si>
    <t>ICA201,ICA4121,ICA2120</t>
  </si>
  <si>
    <r>
      <rPr>
        <rFont val="Roboto"/>
        <color theme="1"/>
        <sz val="11.0"/>
      </rPr>
      <t>ICI2340</t>
    </r>
  </si>
  <si>
    <t>ARQUITECTURA DE HARDWARE</t>
  </si>
  <si>
    <t>ICI342,INF2340</t>
  </si>
  <si>
    <r>
      <rPr>
        <rFont val="Roboto"/>
        <color theme="1"/>
        <sz val="11.0"/>
      </rPr>
      <t>MAT2188</t>
    </r>
  </si>
  <si>
    <t>CALCULO INTEGRAL,SERIES</t>
  </si>
  <si>
    <t>MAT117,MAT1002,MAT2178</t>
  </si>
  <si>
    <r>
      <rPr>
        <rFont val="Roboto"/>
        <color theme="1"/>
        <sz val="11.0"/>
      </rPr>
      <t>ICI2240</t>
    </r>
  </si>
  <si>
    <t>ICI1142</t>
  </si>
  <si>
    <t>ICI241,INF2223,INF2240</t>
  </si>
  <si>
    <r>
      <rPr>
        <rFont val="Roboto"/>
        <color theme="1"/>
        <sz val="11.0"/>
      </rPr>
      <t>FIS2120</t>
    </r>
  </si>
  <si>
    <t>FIS2115</t>
  </si>
  <si>
    <t>FIS331</t>
  </si>
  <si>
    <r>
      <rPr>
        <rFont val="Roboto"/>
        <color theme="1"/>
        <sz val="11.0"/>
      </rPr>
      <t>ICI2140</t>
    </r>
  </si>
  <si>
    <t>ICI346</t>
  </si>
  <si>
    <r>
      <rPr>
        <rFont val="Roboto"/>
        <color theme="1"/>
        <sz val="11.0"/>
      </rPr>
      <t>ICI2341</t>
    </r>
  </si>
  <si>
    <t>SISTEMAS OPERATIVOS</t>
  </si>
  <si>
    <t>ICI2340</t>
  </si>
  <si>
    <t>ICI443,ICI3344,INF2322,INF2341</t>
  </si>
  <si>
    <r>
      <rPr>
        <rFont val="Roboto"/>
        <color theme="1"/>
        <sz val="11.0"/>
      </rPr>
      <t>ICM2142</t>
    </r>
  </si>
  <si>
    <t>FUNDAMENTOS DE TERMODINAMICA</t>
  </si>
  <si>
    <t>ICM323</t>
  </si>
  <si>
    <r>
      <rPr>
        <rFont val="Roboto"/>
        <color theme="1"/>
        <sz val="11.0"/>
      </rPr>
      <t>MAT2198</t>
    </r>
  </si>
  <si>
    <t>MAT2188</t>
  </si>
  <si>
    <t>MAT215,MAT1003</t>
  </si>
  <si>
    <r>
      <rPr>
        <rFont val="Roboto"/>
        <color theme="1"/>
        <sz val="11.0"/>
      </rPr>
      <t>EST3107</t>
    </r>
  </si>
  <si>
    <t>PROBABILIDAD,ESTADISTICA</t>
  </si>
  <si>
    <t>EII202,EST211,EST2168</t>
  </si>
  <si>
    <r>
      <rPr>
        <rFont val="Roboto"/>
        <color theme="1"/>
        <sz val="11.0"/>
      </rPr>
      <t>FIS3113</t>
    </r>
  </si>
  <si>
    <t>FISICA ONDAS</t>
  </si>
  <si>
    <t>FIS431</t>
  </si>
  <si>
    <r>
      <rPr>
        <rFont val="Roboto"/>
        <color theme="1"/>
        <sz val="11.0"/>
      </rPr>
      <t>ICI3243</t>
    </r>
  </si>
  <si>
    <t>ICI344,ICI3240,INF2235,INF2243</t>
  </si>
  <si>
    <r>
      <rPr>
        <rFont val="Roboto"/>
        <color theme="1"/>
        <sz val="11.0"/>
      </rPr>
      <t>MAT3105</t>
    </r>
  </si>
  <si>
    <t>MAT307</t>
  </si>
  <si>
    <r>
      <rPr>
        <rFont val="Roboto"/>
        <color theme="1"/>
        <sz val="11.0"/>
      </rPr>
      <t>ICI3241</t>
    </r>
  </si>
  <si>
    <t>ICI341</t>
  </si>
  <si>
    <r>
      <rPr>
        <rFont val="Roboto"/>
        <color theme="1"/>
        <sz val="11.0"/>
      </rPr>
      <t>EIE3159</t>
    </r>
  </si>
  <si>
    <t>ELECTROTECNIA</t>
  </si>
  <si>
    <t>EIE324</t>
  </si>
  <si>
    <r>
      <rPr>
        <rFont val="Roboto"/>
        <color theme="1"/>
        <sz val="11.0"/>
      </rPr>
      <t>EST3156</t>
    </r>
  </si>
  <si>
    <t>INFERENCIA ESTADISTICA</t>
  </si>
  <si>
    <t>EST3107</t>
  </si>
  <si>
    <t>EST311</t>
  </si>
  <si>
    <r>
      <rPr>
        <rFont val="Roboto"/>
        <color theme="1"/>
        <sz val="11.0"/>
      </rPr>
      <t>FIS3149</t>
    </r>
  </si>
  <si>
    <t>FIS3113</t>
  </si>
  <si>
    <r>
      <rPr>
        <rFont val="Roboto"/>
        <color theme="1"/>
        <sz val="11.0"/>
      </rPr>
      <t>ICI3140</t>
    </r>
  </si>
  <si>
    <r>
      <rPr>
        <rFont val="Roboto"/>
        <color theme="1"/>
        <sz val="11.0"/>
      </rPr>
      <t>ICI3242</t>
    </r>
  </si>
  <si>
    <t>MODELAMIENTO DE SISTEMAS DE SOFTWARE</t>
  </si>
  <si>
    <t>ICI3243</t>
  </si>
  <si>
    <t>ICI444,INF3242</t>
  </si>
  <si>
    <r>
      <rPr>
        <rFont val="Roboto"/>
        <color theme="1"/>
        <sz val="11.0"/>
      </rPr>
      <t>ICI3000</t>
    </r>
  </si>
  <si>
    <t>PRACTICA 1</t>
  </si>
  <si>
    <t>INF3000</t>
  </si>
  <si>
    <r>
      <rPr>
        <rFont val="Roboto"/>
        <color theme="1"/>
        <sz val="11.0"/>
      </rPr>
      <t>ING9001</t>
    </r>
  </si>
  <si>
    <t>15[crob]</t>
  </si>
  <si>
    <r>
      <rPr>
        <rFont val="Roboto"/>
        <color theme="1"/>
        <sz val="11.0"/>
      </rPr>
      <t>ICA4160</t>
    </r>
  </si>
  <si>
    <t>ECONOMIA</t>
  </si>
  <si>
    <t>ICA315,ICA2160</t>
  </si>
  <si>
    <r>
      <rPr>
        <rFont val="Roboto"/>
        <color theme="1"/>
        <sz val="11.0"/>
      </rPr>
      <t>ICI4240</t>
    </r>
  </si>
  <si>
    <t>INGENIERIA WEB</t>
  </si>
  <si>
    <t>ICI3241</t>
  </si>
  <si>
    <t>INF3240</t>
  </si>
  <si>
    <r>
      <rPr>
        <rFont val="Roboto"/>
        <color theme="1"/>
        <sz val="11.0"/>
      </rPr>
      <t>ICI4242</t>
    </r>
  </si>
  <si>
    <t>ICI445</t>
  </si>
  <si>
    <r>
      <rPr>
        <rFont val="Roboto"/>
        <color theme="1"/>
        <sz val="11.0"/>
      </rPr>
      <t>ICI4241</t>
    </r>
  </si>
  <si>
    <t>ICI3242</t>
  </si>
  <si>
    <t>ICI542,ICI4244,INF2237,INF3241</t>
  </si>
  <si>
    <r>
      <rPr>
        <rFont val="Roboto"/>
        <color theme="1"/>
        <sz val="11.0"/>
      </rPr>
      <t>ING9002</t>
    </r>
  </si>
  <si>
    <r>
      <rPr>
        <rFont val="Roboto"/>
        <color theme="1"/>
        <sz val="11.0"/>
      </rPr>
      <t>ICI4140</t>
    </r>
  </si>
  <si>
    <t>FINANZAS</t>
  </si>
  <si>
    <t>ICA4160</t>
  </si>
  <si>
    <t>ICI447,ICA4161,INF3132,INF3140</t>
  </si>
  <si>
    <r>
      <rPr>
        <rFont val="Roboto"/>
        <color theme="1"/>
        <sz val="11.0"/>
      </rPr>
      <t>ICI4144</t>
    </r>
  </si>
  <si>
    <t>INVESTIGACION DE OPERACIONES</t>
  </si>
  <si>
    <t>ICI4151,ICD4156,EII405,INF3136,INF3144</t>
  </si>
  <si>
    <r>
      <rPr>
        <rFont val="Roboto"/>
        <color theme="1"/>
        <sz val="11.0"/>
      </rPr>
      <t>ICI4243</t>
    </r>
  </si>
  <si>
    <t>ICI4241</t>
  </si>
  <si>
    <t>INF4243</t>
  </si>
  <si>
    <r>
      <rPr>
        <rFont val="Roboto"/>
        <color theme="1"/>
        <sz val="11.0"/>
      </rPr>
      <t>ICI4340</t>
    </r>
  </si>
  <si>
    <t>ICI2341</t>
  </si>
  <si>
    <t>ICI446,ICI3343,INF2324,INF3340</t>
  </si>
  <si>
    <r>
      <rPr>
        <rFont val="Roboto"/>
        <color theme="1"/>
        <sz val="11.0"/>
      </rPr>
      <t>ICI4540</t>
    </r>
  </si>
  <si>
    <t>ICI543,ICI5545,INF4552,INF4540</t>
  </si>
  <si>
    <r>
      <rPr>
        <rFont val="Roboto"/>
        <color theme="1"/>
        <sz val="11.0"/>
      </rPr>
      <t>ING9003</t>
    </r>
  </si>
  <si>
    <r>
      <rPr>
        <rFont val="Roboto"/>
        <color theme="1"/>
        <sz val="11.0"/>
      </rPr>
      <t>ICI5240</t>
    </r>
  </si>
  <si>
    <t>ICI4242</t>
  </si>
  <si>
    <t>ICI442,ICI3244</t>
  </si>
  <si>
    <r>
      <rPr>
        <rFont val="Roboto"/>
        <color theme="1"/>
        <sz val="11.0"/>
      </rPr>
      <t>ICI5440</t>
    </r>
  </si>
  <si>
    <t>FACTORES HUMANOS EN PROYECTOS DE SOFTWARE</t>
  </si>
  <si>
    <t>ICI545</t>
  </si>
  <si>
    <r>
      <rPr>
        <rFont val="Roboto"/>
        <color theme="1"/>
        <sz val="11.0"/>
      </rPr>
      <t>ICI5540</t>
    </r>
  </si>
  <si>
    <t>ICI4240</t>
  </si>
  <si>
    <t>INF3540</t>
  </si>
  <si>
    <r>
      <rPr>
        <rFont val="Roboto"/>
        <color theme="1"/>
        <sz val="11.0"/>
      </rPr>
      <t>ICI5542</t>
    </r>
  </si>
  <si>
    <t>FORMULACION DE PROYECTOS INFORMATICOS</t>
  </si>
  <si>
    <t>ICI4140</t>
  </si>
  <si>
    <t>ICI541</t>
  </si>
  <si>
    <r>
      <rPr>
        <rFont val="Roboto"/>
        <color theme="1"/>
        <sz val="11.0"/>
      </rPr>
      <t>ING9004</t>
    </r>
  </si>
  <si>
    <r>
      <rPr>
        <rFont val="Roboto"/>
        <color theme="1"/>
        <sz val="11.0"/>
      </rPr>
      <t>ICI5142</t>
    </r>
  </si>
  <si>
    <t>INVESTIGACION DE OPERACIONES AVANZADAS</t>
  </si>
  <si>
    <r>
      <rPr>
        <rFont val="Roboto"/>
        <color theme="1"/>
        <sz val="11.0"/>
      </rPr>
      <t>ICI5341</t>
    </r>
  </si>
  <si>
    <t>SISTEMAS DISTRIBUIDOS</t>
  </si>
  <si>
    <t>ICI4340</t>
  </si>
  <si>
    <t>ICI547,ICI4344</t>
  </si>
  <si>
    <r>
      <rPr>
        <rFont val="Roboto"/>
        <color theme="1"/>
        <sz val="11.0"/>
      </rPr>
      <t>ICI5543</t>
    </r>
  </si>
  <si>
    <t>ICI5542</t>
  </si>
  <si>
    <r>
      <rPr>
        <rFont val="Roboto"/>
        <color theme="1"/>
        <sz val="11.0"/>
      </rPr>
      <t>ICI5544</t>
    </r>
  </si>
  <si>
    <t>INGENIERIA DE NEGOCIOS</t>
  </si>
  <si>
    <r>
      <rPr>
        <rFont val="Roboto"/>
        <color theme="1"/>
        <sz val="11.0"/>
      </rPr>
      <t>ICI4000</t>
    </r>
  </si>
  <si>
    <t>PRACTICA 2</t>
  </si>
  <si>
    <t>ICI3000</t>
  </si>
  <si>
    <r>
      <rPr>
        <rFont val="Roboto"/>
        <color theme="1"/>
        <sz val="11.0"/>
      </rPr>
      <t>ICI6440</t>
    </r>
  </si>
  <si>
    <t>NUEVAS TECNOLOGIAS EN LA ORGANIZACION</t>
  </si>
  <si>
    <t>ICI544</t>
  </si>
  <si>
    <r>
      <rPr>
        <rFont val="Roboto"/>
        <color theme="1"/>
        <sz val="11.0"/>
      </rPr>
      <t>ICI6441</t>
    </r>
  </si>
  <si>
    <t>ICI643</t>
  </si>
  <si>
    <r>
      <rPr>
        <rFont val="Roboto"/>
        <color theme="1"/>
        <sz val="11.0"/>
      </rPr>
      <t>ICI6442</t>
    </r>
  </si>
  <si>
    <t>INTELIGENCIA DE NEGOCIOS</t>
  </si>
  <si>
    <t>ICI5540</t>
  </si>
  <si>
    <r>
      <rPr>
        <rFont val="Roboto"/>
        <color theme="1"/>
        <sz val="11.0"/>
      </rPr>
      <t>ICI6540</t>
    </r>
  </si>
  <si>
    <t>ICI641,ICI5541</t>
  </si>
  <si>
    <r>
      <rPr>
        <rFont val="Roboto"/>
        <color theme="1"/>
        <sz val="11.0"/>
      </rPr>
      <t>ICI6541</t>
    </r>
  </si>
  <si>
    <t>ICI6540,ICI4000</t>
  </si>
  <si>
    <t>ICI642</t>
  </si>
  <si>
    <t>INF</t>
  </si>
  <si>
    <r>
      <rPr>
        <rFont val="Roboto"/>
        <color theme="1"/>
        <sz val="11.0"/>
      </rPr>
      <t>INF1413</t>
    </r>
  </si>
  <si>
    <r>
      <rPr>
        <rFont val="Roboto"/>
        <color theme="1"/>
        <sz val="11.0"/>
      </rPr>
      <t>INF1212</t>
    </r>
  </si>
  <si>
    <t>ICI1240,INF1240,ICD1140,ICI1243,FIN110</t>
  </si>
  <si>
    <r>
      <rPr>
        <rFont val="Roboto"/>
        <color theme="1"/>
        <sz val="11.0"/>
      </rPr>
      <t>INF1211</t>
    </r>
  </si>
  <si>
    <t>ICI1141,INF1141,ICD1341,ICI1241,INF298</t>
  </si>
  <si>
    <r>
      <rPr>
        <rFont val="Roboto"/>
        <color theme="1"/>
        <sz val="11.0"/>
      </rPr>
      <t>MAT1001</t>
    </r>
  </si>
  <si>
    <r>
      <rPr>
        <rFont val="Roboto"/>
        <color theme="1"/>
        <sz val="11.0"/>
      </rPr>
      <t>FIN100-14</t>
    </r>
  </si>
  <si>
    <r>
      <rPr>
        <rFont val="Roboto"/>
        <color theme="1"/>
        <sz val="11.0"/>
      </rPr>
      <t>INF1214</t>
    </r>
  </si>
  <si>
    <t>INF1211</t>
  </si>
  <si>
    <t>ICI1142,INF1142,ICD1342,ICI1242</t>
  </si>
  <si>
    <r>
      <rPr>
        <rFont val="Roboto"/>
        <color theme="1"/>
        <sz val="11.0"/>
      </rPr>
      <t>MAT1002</t>
    </r>
  </si>
  <si>
    <t>MAT1177,MAT2178</t>
  </si>
  <si>
    <r>
      <rPr>
        <rFont val="Roboto"/>
        <color theme="1"/>
        <sz val="11.0"/>
      </rPr>
      <t>MAT1004</t>
    </r>
  </si>
  <si>
    <r>
      <rPr>
        <rFont val="Roboto"/>
        <color theme="1"/>
        <sz val="11.0"/>
      </rPr>
      <t>INF2121</t>
    </r>
  </si>
  <si>
    <r>
      <rPr>
        <rFont val="Roboto"/>
        <color theme="1"/>
        <sz val="11.0"/>
      </rPr>
      <t>INF2223</t>
    </r>
  </si>
  <si>
    <t>INF1214</t>
  </si>
  <si>
    <t>ICI2240,INF2240,ICD2344</t>
  </si>
  <si>
    <r>
      <rPr>
        <rFont val="Roboto"/>
        <color theme="1"/>
        <sz val="11.0"/>
      </rPr>
      <t>INF2322</t>
    </r>
  </si>
  <si>
    <t>ICI2341,INF2341,ICD3354,ICI3344</t>
  </si>
  <si>
    <r>
      <rPr>
        <rFont val="Roboto"/>
        <color theme="1"/>
        <sz val="11.0"/>
      </rPr>
      <t>FIS1002</t>
    </r>
  </si>
  <si>
    <r>
      <rPr>
        <rFont val="Roboto"/>
        <color theme="1"/>
        <sz val="11.0"/>
      </rPr>
      <t>ING9001</t>
    </r>
  </si>
  <si>
    <r>
      <rPr>
        <rFont val="Roboto"/>
        <color theme="1"/>
        <sz val="11.0"/>
      </rPr>
      <t>INF2235</t>
    </r>
  </si>
  <si>
    <t>ICI3243,INF2243,ICD3350,ICI3240</t>
  </si>
  <si>
    <r>
      <rPr>
        <rFont val="Roboto"/>
        <color theme="1"/>
        <sz val="11.0"/>
      </rPr>
      <t>INF2236</t>
    </r>
  </si>
  <si>
    <t>INF2223</t>
  </si>
  <si>
    <r>
      <rPr>
        <rFont val="Roboto"/>
        <color theme="1"/>
        <sz val="11.0"/>
      </rPr>
      <t>INF2237</t>
    </r>
  </si>
  <si>
    <t>ICI4241,INF3241,ICD4461,ICI4244</t>
  </si>
  <si>
    <r>
      <rPr>
        <rFont val="Roboto"/>
        <color theme="1"/>
        <sz val="11.0"/>
      </rPr>
      <t>INF2324</t>
    </r>
  </si>
  <si>
    <t>INF2322</t>
  </si>
  <si>
    <t>ICI4340,INF3340,ICD4363,ICI3343</t>
  </si>
  <si>
    <r>
      <rPr>
        <rFont val="Roboto"/>
        <color theme="1"/>
        <sz val="11.0"/>
      </rPr>
      <t>ING9002</t>
    </r>
  </si>
  <si>
    <t>INF3132</t>
  </si>
  <si>
    <t>ICI4140,INF3140,ICD5164,ICA4161,ICA5164</t>
  </si>
  <si>
    <r>
      <rPr>
        <rFont val="Roboto"/>
        <color theme="1"/>
        <sz val="11.0"/>
      </rPr>
      <t>INF3235</t>
    </r>
  </si>
  <si>
    <t>INF2237</t>
  </si>
  <si>
    <r>
      <rPr>
        <rFont val="Roboto"/>
        <color theme="1"/>
        <sz val="11.0"/>
      </rPr>
      <t>INF3233</t>
    </r>
  </si>
  <si>
    <t>INF2236</t>
  </si>
  <si>
    <t>INF3234</t>
  </si>
  <si>
    <t>INF2235</t>
  </si>
  <si>
    <r>
      <rPr>
        <rFont val="Roboto"/>
        <color theme="1"/>
        <sz val="11.0"/>
      </rPr>
      <t>ING9003</t>
    </r>
  </si>
  <si>
    <r>
      <rPr>
        <rFont val="Roboto"/>
        <color theme="1"/>
        <sz val="11.0"/>
      </rPr>
      <t>INF3246</t>
    </r>
  </si>
  <si>
    <t>EXPERIENCIA DEL USUARIO</t>
  </si>
  <si>
    <t>INF3235</t>
  </si>
  <si>
    <r>
      <rPr>
        <rFont val="Roboto"/>
        <color theme="1"/>
        <sz val="11.0"/>
      </rPr>
      <t>INF3541</t>
    </r>
  </si>
  <si>
    <r>
      <rPr>
        <rFont val="Roboto"/>
        <color theme="1"/>
        <sz val="11.0"/>
      </rPr>
      <t>INF3136</t>
    </r>
  </si>
  <si>
    <t>ICI4144,INF3144,ICD4156,ICI4151</t>
  </si>
  <si>
    <r>
      <rPr>
        <rFont val="Roboto"/>
        <color theme="1"/>
        <sz val="11.0"/>
      </rPr>
      <t>INF3245</t>
    </r>
  </si>
  <si>
    <r>
      <rPr>
        <rFont val="Roboto"/>
        <color theme="1"/>
        <sz val="11.0"/>
      </rPr>
      <t>ING9004</t>
    </r>
  </si>
  <si>
    <r>
      <rPr>
        <rFont val="Roboto"/>
        <color theme="1"/>
        <sz val="11.0"/>
      </rPr>
      <t>INF4353</t>
    </r>
  </si>
  <si>
    <t>INF2324</t>
  </si>
  <si>
    <r>
      <rPr>
        <rFont val="Roboto"/>
        <color theme="1"/>
        <sz val="11.0"/>
      </rPr>
      <t>INF4457</t>
    </r>
  </si>
  <si>
    <r>
      <rPr>
        <rFont val="Roboto"/>
        <b/>
        <color rgb="FFFF0000"/>
        <sz val="11.0"/>
      </rPr>
      <t>INF2236</t>
    </r>
  </si>
  <si>
    <r>
      <rPr>
        <rFont val="Roboto"/>
        <color theme="1"/>
        <sz val="11.0"/>
      </rPr>
      <t>INF4552</t>
    </r>
  </si>
  <si>
    <t>ICI4540,INF4540,ICI5545</t>
  </si>
  <si>
    <r>
      <rPr>
        <rFont val="Roboto"/>
        <color theme="1"/>
        <sz val="11.0"/>
      </rPr>
      <t>INF4556</t>
    </r>
  </si>
  <si>
    <t>INF3136,INF3541</t>
  </si>
  <si>
    <r>
      <rPr>
        <rFont val="Roboto"/>
        <color theme="1"/>
        <sz val="11.0"/>
      </rPr>
      <t>INF4458</t>
    </r>
  </si>
  <si>
    <t>FIN220</t>
  </si>
  <si>
    <r>
      <rPr>
        <rFont val="Roboto"/>
        <color theme="1"/>
        <sz val="11.0"/>
      </rPr>
      <t>INF4459</t>
    </r>
  </si>
  <si>
    <t>LEGISLACION, ETICA,TECNOLOGIA</t>
  </si>
  <si>
    <r>
      <rPr>
        <rFont val="Roboto"/>
        <color theme="1"/>
        <sz val="11.0"/>
      </rPr>
      <t>INF4560</t>
    </r>
  </si>
  <si>
    <t>INF4556</t>
  </si>
  <si>
    <r>
      <rPr>
        <rFont val="Roboto"/>
        <color theme="1"/>
        <sz val="11.0"/>
      </rPr>
      <t>INF1240</t>
    </r>
  </si>
  <si>
    <t>ICI1240,INF1212</t>
  </si>
  <si>
    <t>INF_</t>
  </si>
  <si>
    <r>
      <rPr>
        <rFont val="Roboto"/>
        <color theme="1"/>
        <sz val="11.0"/>
      </rPr>
      <t>QUI1149</t>
    </r>
  </si>
  <si>
    <t>FUNDAMENTOS DE QUIMICA</t>
  </si>
  <si>
    <t>QUI1138</t>
  </si>
  <si>
    <r>
      <rPr>
        <rFont val="Roboto"/>
        <color theme="1"/>
        <sz val="11.0"/>
      </rPr>
      <t>INF1141</t>
    </r>
  </si>
  <si>
    <t>ICI1241,ICD1341,INF140,INF1211,ICI1141</t>
  </si>
  <si>
    <r>
      <rPr>
        <rFont val="Roboto"/>
        <color theme="1"/>
        <sz val="11.0"/>
      </rPr>
      <t>MAT1196</t>
    </r>
  </si>
  <si>
    <t>MAT1001,MAT113,MAT1197</t>
  </si>
  <si>
    <r>
      <rPr>
        <rFont val="Roboto"/>
        <color theme="1"/>
        <sz val="11.0"/>
      </rPr>
      <t>INF1140</t>
    </r>
  </si>
  <si>
    <t>ICI1140</t>
  </si>
  <si>
    <r>
      <rPr>
        <rFont val="Roboto"/>
        <color theme="1"/>
        <sz val="11.0"/>
      </rPr>
      <t>INF1142</t>
    </r>
  </si>
  <si>
    <t>INF1141</t>
  </si>
  <si>
    <t>ICI1142,ICI1242,INF1214,ICD1342,INF154</t>
  </si>
  <si>
    <r>
      <rPr>
        <rFont val="Roboto"/>
        <color theme="1"/>
        <sz val="11.0"/>
      </rPr>
      <t>MAT1166</t>
    </r>
  </si>
  <si>
    <t>FUNDAMENTOS DE CALCULO</t>
  </si>
  <si>
    <t>MAT1196</t>
  </si>
  <si>
    <t>MAT1177,MAT123</t>
  </si>
  <si>
    <r>
      <rPr>
        <rFont val="Roboto"/>
        <color theme="1"/>
        <sz val="11.0"/>
      </rPr>
      <t>MAT1169</t>
    </r>
  </si>
  <si>
    <t>FUNDAMENTOS DE ALGEBRA LINEAL</t>
  </si>
  <si>
    <t>MAT1167,MAT1004,MAT127</t>
  </si>
  <si>
    <r>
      <rPr>
        <rFont val="Roboto"/>
        <color theme="1"/>
        <sz val="11.0"/>
      </rPr>
      <t>FIS2109</t>
    </r>
  </si>
  <si>
    <t>FUNDAMENTOS DE FISICA</t>
  </si>
  <si>
    <t>MAT1166</t>
  </si>
  <si>
    <t>FIS1002,FIS2115</t>
  </si>
  <si>
    <r>
      <rPr>
        <rFont val="Roboto"/>
        <color theme="1"/>
        <sz val="11.0"/>
      </rPr>
      <t>ICA2120</t>
    </r>
  </si>
  <si>
    <t>ICA2121,ICA4121,ICA201</t>
  </si>
  <si>
    <r>
      <rPr>
        <rFont val="Roboto"/>
        <color theme="1"/>
        <sz val="11.0"/>
      </rPr>
      <t>INF2340</t>
    </r>
  </si>
  <si>
    <t>ICI2340,INF150</t>
  </si>
  <si>
    <r>
      <rPr>
        <rFont val="Roboto"/>
        <color theme="1"/>
        <sz val="11.0"/>
      </rPr>
      <t>MAT2178</t>
    </r>
  </si>
  <si>
    <t>CALCULO INTEGRAL</t>
  </si>
  <si>
    <t>MAT2188,MAT1002,MAT203</t>
  </si>
  <si>
    <r>
      <rPr>
        <rFont val="Roboto"/>
        <color theme="1"/>
        <sz val="11.0"/>
      </rPr>
      <t>INF2240</t>
    </r>
  </si>
  <si>
    <t>INF1142</t>
  </si>
  <si>
    <t>ICI2240,INF2223,ICD2344,INF245</t>
  </si>
  <si>
    <r>
      <rPr>
        <rFont val="Roboto"/>
        <color theme="1"/>
        <sz val="11.0"/>
      </rPr>
      <t>ING9001</t>
    </r>
  </si>
  <si>
    <r>
      <rPr>
        <rFont val="Roboto"/>
        <color theme="1"/>
        <sz val="11.0"/>
      </rPr>
      <t>EST2168</t>
    </r>
  </si>
  <si>
    <t>FUNDAMENTOS DE PROBABILIDAD</t>
  </si>
  <si>
    <t>MAT2178</t>
  </si>
  <si>
    <t>EST3107,EST204</t>
  </si>
  <si>
    <r>
      <rPr>
        <rFont val="Roboto"/>
        <color theme="1"/>
        <sz val="11.0"/>
      </rPr>
      <t>ICA2160</t>
    </r>
  </si>
  <si>
    <t>ICA2120</t>
  </si>
  <si>
    <t>ICA4160,ICA230</t>
  </si>
  <si>
    <r>
      <rPr>
        <rFont val="Roboto"/>
        <color theme="1"/>
        <sz val="11.0"/>
      </rPr>
      <t>INF2243</t>
    </r>
  </si>
  <si>
    <t>INF2240</t>
  </si>
  <si>
    <t>ICI3243,ICI3240,INF2235,ICD3350,INF340</t>
  </si>
  <si>
    <r>
      <rPr>
        <rFont val="Roboto"/>
        <color theme="1"/>
        <sz val="11.0"/>
      </rPr>
      <t>INF2341</t>
    </r>
  </si>
  <si>
    <t>INF2340</t>
  </si>
  <si>
    <t>ICI2341,ICI3344,INF2322,ICD3354,INF250</t>
  </si>
  <si>
    <r>
      <rPr>
        <rFont val="Roboto"/>
        <color theme="1"/>
        <sz val="11.0"/>
      </rPr>
      <t>INF2241</t>
    </r>
  </si>
  <si>
    <t>PROGRAMACION ORIENTADA A OBJETOS</t>
  </si>
  <si>
    <t>INF240</t>
  </si>
  <si>
    <r>
      <rPr>
        <rFont val="Roboto"/>
        <color theme="1"/>
        <sz val="11.0"/>
      </rPr>
      <t>ING9002</t>
    </r>
  </si>
  <si>
    <r>
      <rPr>
        <rFont val="Roboto"/>
        <color theme="1"/>
        <sz val="11.0"/>
      </rPr>
      <t>INF3144</t>
    </r>
  </si>
  <si>
    <t>EII305,ICI4144,ICD4156,INF3136</t>
  </si>
  <si>
    <r>
      <rPr>
        <rFont val="Roboto"/>
        <color theme="1"/>
        <sz val="11.0"/>
      </rPr>
      <t>INF3340</t>
    </r>
  </si>
  <si>
    <t>INF2341</t>
  </si>
  <si>
    <t>ICI4340,ICI3343,INF2324,ICD4363,INF352</t>
  </si>
  <si>
    <r>
      <rPr>
        <rFont val="Roboto"/>
        <color theme="1"/>
        <sz val="11.0"/>
      </rPr>
      <t>INF3242</t>
    </r>
  </si>
  <si>
    <t>INF2243</t>
  </si>
  <si>
    <t>ICI3242,INF342</t>
  </si>
  <si>
    <r>
      <rPr>
        <rFont val="Roboto"/>
        <color theme="1"/>
        <sz val="11.0"/>
      </rPr>
      <t>ING9003</t>
    </r>
  </si>
  <si>
    <r>
      <rPr>
        <rFont val="Roboto"/>
        <color theme="1"/>
        <sz val="11.0"/>
      </rPr>
      <t>INF3140</t>
    </r>
  </si>
  <si>
    <t>ICA2160</t>
  </si>
  <si>
    <t>ICI4140,ICA4161,INF3132,ICA5164,EII312</t>
  </si>
  <si>
    <r>
      <rPr>
        <rFont val="Roboto"/>
        <color theme="1"/>
        <sz val="11.0"/>
      </rPr>
      <t>INF3240</t>
    </r>
  </si>
  <si>
    <t>INF2241</t>
  </si>
  <si>
    <r>
      <rPr>
        <rFont val="Roboto"/>
        <color theme="1"/>
        <sz val="11.0"/>
      </rPr>
      <t>INF3540</t>
    </r>
  </si>
  <si>
    <t>INF3242</t>
  </si>
  <si>
    <r>
      <rPr>
        <rFont val="Roboto"/>
        <color theme="1"/>
        <sz val="11.0"/>
      </rPr>
      <t>INF3241</t>
    </r>
  </si>
  <si>
    <t>ICI4241,ICI4244,INF2237,ICD4461,INF350</t>
  </si>
  <si>
    <r>
      <rPr>
        <rFont val="Roboto"/>
        <color theme="1"/>
        <sz val="11.0"/>
      </rPr>
      <t>INF3000</t>
    </r>
  </si>
  <si>
    <t>PRACTICA</t>
  </si>
  <si>
    <r>
      <rPr>
        <rFont val="Roboto"/>
        <color theme="1"/>
        <sz val="11.0"/>
      </rPr>
      <t>ING9004</t>
    </r>
  </si>
  <si>
    <r>
      <rPr>
        <rFont val="Roboto"/>
        <color theme="1"/>
        <sz val="11.0"/>
      </rPr>
      <t>INF4243</t>
    </r>
  </si>
  <si>
    <t>INF3241</t>
  </si>
  <si>
    <t>ICI4243</t>
  </si>
  <si>
    <r>
      <rPr>
        <rFont val="Roboto"/>
        <color theme="1"/>
        <sz val="11.0"/>
      </rPr>
      <t>INF4540</t>
    </r>
  </si>
  <si>
    <t>ICI4540,INF4552,ICI5545</t>
  </si>
  <si>
    <r>
      <rPr>
        <rFont val="Roboto"/>
        <color theme="1"/>
        <sz val="11.0"/>
      </rPr>
      <t>INF4541</t>
    </r>
  </si>
  <si>
    <t>INF499</t>
  </si>
  <si>
    <t>Profesor:</t>
  </si>
  <si>
    <t>DOC001</t>
  </si>
  <si>
    <t>Bloque</t>
  </si>
  <si>
    <t>Lunes</t>
  </si>
  <si>
    <t>Martes</t>
  </si>
  <si>
    <t>Miércoles</t>
  </si>
  <si>
    <t>Jueves</t>
  </si>
  <si>
    <t>Viernes</t>
  </si>
  <si>
    <t>1-2</t>
  </si>
  <si>
    <t>3-4</t>
  </si>
  <si>
    <t>5-6</t>
  </si>
  <si>
    <t>7-8</t>
  </si>
  <si>
    <t>9-10</t>
  </si>
  <si>
    <t>11-12</t>
  </si>
  <si>
    <t>13-14</t>
  </si>
  <si>
    <t>DOC002</t>
  </si>
  <si>
    <t>DOC003</t>
  </si>
  <si>
    <t>DOC004</t>
  </si>
  <si>
    <t>DOC005</t>
  </si>
  <si>
    <t>DOC006</t>
  </si>
  <si>
    <t>DOC007</t>
  </si>
  <si>
    <t>DOC008</t>
  </si>
  <si>
    <t>DOC009</t>
  </si>
  <si>
    <t>DOC010</t>
  </si>
  <si>
    <t>DOC011</t>
  </si>
  <si>
    <t>DOC012</t>
  </si>
  <si>
    <t>DOC013</t>
  </si>
  <si>
    <t>DOC014</t>
  </si>
  <si>
    <t>DOC015</t>
  </si>
  <si>
    <t>DOC016</t>
  </si>
  <si>
    <t>DOC017</t>
  </si>
  <si>
    <t>DOC018</t>
  </si>
  <si>
    <t>DOC019</t>
  </si>
  <si>
    <t>DOC020</t>
  </si>
  <si>
    <t>DOC021</t>
  </si>
  <si>
    <t>DOC022</t>
  </si>
  <si>
    <t>DOC023</t>
  </si>
  <si>
    <t>DOC024</t>
  </si>
  <si>
    <t>DOC025</t>
  </si>
  <si>
    <t>DOC026</t>
  </si>
  <si>
    <t>DOC027</t>
  </si>
  <si>
    <t>DOC028</t>
  </si>
  <si>
    <t>DOC029</t>
  </si>
  <si>
    <t>DOC030</t>
  </si>
  <si>
    <t>DOC031</t>
  </si>
  <si>
    <t>DOC032</t>
  </si>
  <si>
    <t>DOC033</t>
  </si>
  <si>
    <t>DOC034</t>
  </si>
  <si>
    <t>DOC035</t>
  </si>
  <si>
    <t>DOC036</t>
  </si>
  <si>
    <t>DOC037</t>
  </si>
  <si>
    <t>DOC038</t>
  </si>
  <si>
    <t>DOC039</t>
  </si>
  <si>
    <t>DOC040</t>
  </si>
  <si>
    <t>DOC041</t>
  </si>
  <si>
    <t>DOC042</t>
  </si>
  <si>
    <t>DOC043</t>
  </si>
  <si>
    <t>DOC044</t>
  </si>
  <si>
    <t>DOC045</t>
  </si>
  <si>
    <t>DOC046</t>
  </si>
  <si>
    <t>DOC047</t>
  </si>
  <si>
    <t>DOC048</t>
  </si>
  <si>
    <t>DOC049</t>
  </si>
  <si>
    <t>DOC050</t>
  </si>
  <si>
    <t>ASG067 - 01
Lab</t>
  </si>
  <si>
    <t>ASG001 - 01
Tal</t>
  </si>
  <si>
    <t>ASG033 - 02
Cát</t>
  </si>
  <si>
    <t>ASG067 - 01
Cát</t>
  </si>
  <si>
    <t>ASG033 - 02
Lab</t>
  </si>
  <si>
    <t>ASG034 - 01
Tal</t>
  </si>
  <si>
    <t>ASG068 - 01
Cát</t>
  </si>
  <si>
    <t>ASG034 - 01
Cát</t>
  </si>
  <si>
    <t>ASG068 - 01
Lab</t>
  </si>
  <si>
    <t>ASG001 - 02
Tal</t>
  </si>
  <si>
    <t>ASG034 - 02
Cát</t>
  </si>
  <si>
    <t>ASG069 - 01
Cát</t>
  </si>
  <si>
    <t>ASG002 - 01
Cát</t>
  </si>
  <si>
    <t>ASG034 - 02
Tal</t>
  </si>
  <si>
    <t>ASG002 - 02
Cát</t>
  </si>
  <si>
    <t>ASG070 - 01
Lab</t>
  </si>
  <si>
    <t>ASG035 - 01
Cát</t>
  </si>
  <si>
    <t>ASG070 - 01
Cát</t>
  </si>
  <si>
    <t>ASG003 - 01
Cát</t>
  </si>
  <si>
    <t>ASG036 - 01
Cát</t>
  </si>
  <si>
    <t>ASG001 - 01
Cát</t>
  </si>
  <si>
    <t>ASG003 - 01
Lab</t>
  </si>
  <si>
    <t>ASG037 - 01
Cát</t>
  </si>
  <si>
    <t>ASG004 - 01
Cát</t>
  </si>
  <si>
    <t>ASG005 - 01
Cát</t>
  </si>
  <si>
    <t>ASG038 - 01
Cát</t>
  </si>
  <si>
    <t>ASG006 - 01
Lab</t>
  </si>
  <si>
    <t>ASG001 - 02
Cát</t>
  </si>
  <si>
    <t>ASG038 - 02
Cát</t>
  </si>
  <si>
    <t>ASG006 - 02
Lab</t>
  </si>
  <si>
    <t>ASG039 - 01
Cát</t>
  </si>
  <si>
    <t>ASG002 - 01
Lab</t>
  </si>
  <si>
    <t>ASG039 - 02
Cát</t>
  </si>
  <si>
    <t>ASG002 - 02
Lab</t>
  </si>
  <si>
    <t>ASG007 - 01
Lab</t>
  </si>
  <si>
    <t>ASG040 - 01
Lab</t>
  </si>
  <si>
    <t>ASG007 - 02
Lab</t>
  </si>
  <si>
    <t>ASG040 - 02
Lab</t>
  </si>
  <si>
    <t>ASG008 - 01
Cát</t>
  </si>
  <si>
    <t>ASG041 - 01
Cát</t>
  </si>
  <si>
    <t>ASG041 - 01
Tal</t>
  </si>
  <si>
    <t>ASG008 - 02
Cát</t>
  </si>
  <si>
    <t>ASG041 - 02
Tal</t>
  </si>
  <si>
    <t>ASG041 - 02
Cát</t>
  </si>
  <si>
    <t>ASG009 - 01
Tal</t>
  </si>
  <si>
    <t>ASG009 - 01
Cát</t>
  </si>
  <si>
    <t>ASG010 - 01
Cát</t>
  </si>
  <si>
    <t>ASG042 - 01
Cát</t>
  </si>
  <si>
    <t>ASG042 - 01
Tal</t>
  </si>
  <si>
    <t>ASG043 - 01
Lab</t>
  </si>
  <si>
    <t>ASG011 - 01
Lab</t>
  </si>
  <si>
    <t>ASG011 - 01
Tal</t>
  </si>
  <si>
    <t>ASG043 - 01
Tal</t>
  </si>
  <si>
    <t>ASG043 - 02
Tal</t>
  </si>
  <si>
    <t>ASG043 - 02
Lab</t>
  </si>
  <si>
    <t>ASG011 - 02
Lab</t>
  </si>
  <si>
    <t>ASG011 - 02
Tal</t>
  </si>
  <si>
    <t>ASG044 - 01
Cát</t>
  </si>
  <si>
    <t>ASG012 - 01
Cát</t>
  </si>
  <si>
    <t>ASG012 - 01
Tal</t>
  </si>
  <si>
    <t>ASG012 - 02
Cát</t>
  </si>
  <si>
    <t>ASG045 - 01
Lab</t>
  </si>
  <si>
    <t>ASG012 - 02
Tal</t>
  </si>
  <si>
    <t>ASG045 - 01
Cát</t>
  </si>
  <si>
    <t>ASG045 - 02
Lab</t>
  </si>
  <si>
    <t>ASG045 - 02
Cát</t>
  </si>
  <si>
    <t>ASG013 - 01
Tal</t>
  </si>
  <si>
    <t>ASG013 - 01
Cát</t>
  </si>
  <si>
    <t>ASG046 - 01
Lab</t>
  </si>
  <si>
    <t>ASG046 - 01
Tal</t>
  </si>
  <si>
    <t>ASG013 - 02
Tal</t>
  </si>
  <si>
    <t>ASG013 - 02
Cát</t>
  </si>
  <si>
    <t>ASG046 - 01
Cát</t>
  </si>
  <si>
    <t>ASG014 - 01
Cát</t>
  </si>
  <si>
    <t>ASG014 - 01
Lab</t>
  </si>
  <si>
    <t>ASG047 - 01
Cát</t>
  </si>
  <si>
    <t>ASG015 - 01
Cát</t>
  </si>
  <si>
    <t>ASG047 - 02
Cát</t>
  </si>
  <si>
    <t>ASG048 - 01
Cát</t>
  </si>
  <si>
    <t>ASG016 - 01
Cát</t>
  </si>
  <si>
    <t>ASG048 - 02
Cát</t>
  </si>
  <si>
    <t>ASG017 - 01
Tal</t>
  </si>
  <si>
    <t>ASG017 - 01
Cát</t>
  </si>
  <si>
    <t>ASG049 - 01
Cát</t>
  </si>
  <si>
    <t>ASG018 - 01
Cát</t>
  </si>
  <si>
    <t>ASG019 - 01
Cát</t>
  </si>
  <si>
    <t>ASG050 - 01
Cát</t>
  </si>
  <si>
    <t>ASG019 - 01
Tal</t>
  </si>
  <si>
    <t>ASG019 - 02
Cát</t>
  </si>
  <si>
    <t>ASG019 - 02
Tal</t>
  </si>
  <si>
    <t>ASG051 - 01
Cát</t>
  </si>
  <si>
    <t>ASG051 - 01
Lab</t>
  </si>
  <si>
    <t>ASG020 - 01
Cát</t>
  </si>
  <si>
    <t>ASG020 - 01
Lab</t>
  </si>
  <si>
    <t>ASG051 - 02
Lab</t>
  </si>
  <si>
    <t>ASG051 - 02
Cát</t>
  </si>
  <si>
    <t>ASG052 - 01
Cát</t>
  </si>
  <si>
    <t>ASG052 - 01
Lab</t>
  </si>
  <si>
    <t>ASG020 - 02
Lab</t>
  </si>
  <si>
    <t>ASG020 - 02
Cát</t>
  </si>
  <si>
    <t>ASG053 - 01
Cát</t>
  </si>
  <si>
    <t>ASG053 - 01
Lab</t>
  </si>
  <si>
    <t>ASG021 - 01
Tal</t>
  </si>
  <si>
    <t>ASG022 - 01
Cát</t>
  </si>
  <si>
    <t>ASG054 - 01
Tal</t>
  </si>
  <si>
    <t>ASG054 - 01
Cát</t>
  </si>
  <si>
    <t>ASG055 - 01
Cát</t>
  </si>
  <si>
    <t>ASG055 - 01
Lab</t>
  </si>
  <si>
    <t>ASG022 - 02
Cát</t>
  </si>
  <si>
    <t>ASG055 - 02
Lab</t>
  </si>
  <si>
    <t>ASG055 - 02
Cát</t>
  </si>
  <si>
    <t>ASG023 - 01
Tal</t>
  </si>
  <si>
    <t>ASG023 - 02
Tal</t>
  </si>
  <si>
    <t>ASG056 - 01
Lab</t>
  </si>
  <si>
    <t>ASG057 - 01
Lab</t>
  </si>
  <si>
    <t>ASG057 - 01
Cát</t>
  </si>
  <si>
    <t>ASG024 - 01
Cát</t>
  </si>
  <si>
    <t>ASG057 - 02
Lab</t>
  </si>
  <si>
    <t>ASG057 - 02
Cát</t>
  </si>
  <si>
    <t>ASG024 - 02
Cát</t>
  </si>
  <si>
    <t>ASG025 - 01
Cát</t>
  </si>
  <si>
    <t>ASG058 - 01
Cát</t>
  </si>
  <si>
    <t>ASG025 - 01
Tal</t>
  </si>
  <si>
    <t>ASG025 - 02
Cát</t>
  </si>
  <si>
    <t>ASG058 - 02
Cát</t>
  </si>
  <si>
    <t>ASG025 - 02
Tal</t>
  </si>
  <si>
    <t>ASG059 - 01
Lab</t>
  </si>
  <si>
    <t>ASG026 - 01
Lab</t>
  </si>
  <si>
    <t>ASG026 - 01
Cát</t>
  </si>
  <si>
    <t>ASG059 - 02
Lab</t>
  </si>
  <si>
    <t>ASG027 - 01
Cát</t>
  </si>
  <si>
    <t>ASG027 - 01
Tal</t>
  </si>
  <si>
    <t>ASG060 - 01
Cát</t>
  </si>
  <si>
    <t>ASG027 - 02
Tal</t>
  </si>
  <si>
    <t>ASG027 - 02
Cát</t>
  </si>
  <si>
    <t>ASG061 - 01
Cát</t>
  </si>
  <si>
    <t>ASG028 - 01
Cát</t>
  </si>
  <si>
    <t>ASG062 - 01
Cát</t>
  </si>
  <si>
    <t>ASG028 - 02
Cát</t>
  </si>
  <si>
    <t>ASG062 - 01
Lab</t>
  </si>
  <si>
    <t>ASG029 - 01
Lab</t>
  </si>
  <si>
    <t>ASG029 - 01
Cát</t>
  </si>
  <si>
    <t>ASG063 - 01
Tal</t>
  </si>
  <si>
    <t>ASG063 - 01
Cát</t>
  </si>
  <si>
    <t>ASG030 - 01
Cát</t>
  </si>
  <si>
    <t>ASG063 - 02
Cát</t>
  </si>
  <si>
    <t>ASG030 - 01
Lab</t>
  </si>
  <si>
    <t>ASG063 - 02
Tal</t>
  </si>
  <si>
    <t>ASG064 - 01
Cát</t>
  </si>
  <si>
    <t>ASG031 - 01
Cát</t>
  </si>
  <si>
    <t>ASG031 - 01
Lab</t>
  </si>
  <si>
    <t>ASG031 - 02
Lab</t>
  </si>
  <si>
    <t>ASG064 - 02
Cát</t>
  </si>
  <si>
    <t>ASG031 - 02
Cát</t>
  </si>
  <si>
    <t>ASG032 - 01
Cát</t>
  </si>
  <si>
    <t>ASG065 - 01
Cát</t>
  </si>
  <si>
    <t>ASG032 - 01
Lab</t>
  </si>
  <si>
    <t>ASG033 - 01
Lab</t>
  </si>
  <si>
    <t>ASG066 - 01
Cát</t>
  </si>
  <si>
    <t>ASG033 - 01
Cát</t>
  </si>
  <si>
    <t>Día</t>
  </si>
  <si>
    <t>Curso</t>
  </si>
  <si>
    <t>Actividad</t>
  </si>
  <si>
    <t>Profesores</t>
  </si>
  <si>
    <t>Sala</t>
  </si>
  <si>
    <t>Estudiantes</t>
  </si>
  <si>
    <t>Lu</t>
  </si>
  <si>
    <t>ASG020-01</t>
  </si>
  <si>
    <t>Cát</t>
  </si>
  <si>
    <t>ASG031-01</t>
  </si>
  <si>
    <t>Ay.</t>
  </si>
  <si>
    <t>ASG039-02</t>
  </si>
  <si>
    <t>ASG055-01</t>
  </si>
  <si>
    <t>ASG062-01</t>
  </si>
  <si>
    <t>ASG003-01</t>
  </si>
  <si>
    <t>ASG022-02</t>
  </si>
  <si>
    <t>ASG024-01</t>
  </si>
  <si>
    <t>ASG040-01</t>
  </si>
  <si>
    <t>ASG045-01</t>
  </si>
  <si>
    <t>Lab</t>
  </si>
  <si>
    <t>ASG064-01</t>
  </si>
  <si>
    <t>ASG037-01</t>
  </si>
  <si>
    <t>ASG043-01</t>
  </si>
  <si>
    <t>ASG044-01</t>
  </si>
  <si>
    <t>ASG047-02</t>
  </si>
  <si>
    <t>ASG052-01</t>
  </si>
  <si>
    <t>ASG066-01</t>
  </si>
  <si>
    <t>ASG002-02</t>
  </si>
  <si>
    <t>ASG006-02</t>
  </si>
  <si>
    <t>ASG012-02</t>
  </si>
  <si>
    <t>ASG018-01</t>
  </si>
  <si>
    <t>ASG027-01</t>
  </si>
  <si>
    <t>ASG046-01</t>
  </si>
  <si>
    <t>ASG050-01</t>
  </si>
  <si>
    <t>ASG004-01</t>
  </si>
  <si>
    <t>ASG008-02</t>
  </si>
  <si>
    <t>ASG011-01</t>
  </si>
  <si>
    <t>Tal</t>
  </si>
  <si>
    <t>ASG012-01</t>
  </si>
  <si>
    <t>ASG013-02</t>
  </si>
  <si>
    <t>ASG017-01</t>
  </si>
  <si>
    <t>ASG027-02</t>
  </si>
  <si>
    <t>ASG028-01</t>
  </si>
  <si>
    <t>ASG030-01</t>
  </si>
  <si>
    <t>ASG036-01</t>
  </si>
  <si>
    <t>ASG063-01</t>
  </si>
  <si>
    <t>ASG013-01</t>
  </si>
  <si>
    <t>ASG029-01</t>
  </si>
  <si>
    <t>ASG035-01</t>
  </si>
  <si>
    <t>ASG039-01</t>
  </si>
  <si>
    <t>ASG042-01</t>
  </si>
  <si>
    <t>ASG048-02</t>
  </si>
  <si>
    <t>ASG054-01</t>
  </si>
  <si>
    <t>ASG055-02</t>
  </si>
  <si>
    <t>ASG001-02</t>
  </si>
  <si>
    <t>ASG009-01</t>
  </si>
  <si>
    <t>ASG010-01</t>
  </si>
  <si>
    <t>ASG024-02</t>
  </si>
  <si>
    <t>ASG026-01</t>
  </si>
  <si>
    <t>ASG047-01</t>
  </si>
  <si>
    <t>Ma</t>
  </si>
  <si>
    <t>ASG006-01</t>
  </si>
  <si>
    <t>ASG019-01</t>
  </si>
  <si>
    <t>ASG019-02</t>
  </si>
  <si>
    <t>ASG031-02</t>
  </si>
  <si>
    <t>ASG034-02</t>
  </si>
  <si>
    <t>ASG040-02</t>
  </si>
  <si>
    <t>ASG041-02</t>
  </si>
  <si>
    <t>ASG056-01</t>
  </si>
  <si>
    <t>ASG058-01</t>
  </si>
  <si>
    <t>ASG059-02</t>
  </si>
  <si>
    <t>ASG063-02</t>
  </si>
  <si>
    <t>ASG005-01</t>
  </si>
  <si>
    <t>ASG058-02</t>
  </si>
  <si>
    <t>ASG067-01</t>
  </si>
  <si>
    <t>ASG022-01</t>
  </si>
  <si>
    <t>ASG043-02</t>
  </si>
  <si>
    <t>ASG048-01</t>
  </si>
  <si>
    <t>ASG059-01</t>
  </si>
  <si>
    <t>ASG069-01</t>
  </si>
  <si>
    <t>ASG002-01</t>
  </si>
  <si>
    <t>ASG011-02</t>
  </si>
  <si>
    <t>ASG020-02</t>
  </si>
  <si>
    <t>ASG021-01</t>
  </si>
  <si>
    <t>ASG025-01</t>
  </si>
  <si>
    <t>ASG038-02</t>
  </si>
  <si>
    <t>ASG057-02</t>
  </si>
  <si>
    <t>ASG023-01</t>
  </si>
  <si>
    <t>ASG025-02</t>
  </si>
  <si>
    <t>ASG038-01</t>
  </si>
  <si>
    <t>ASG051-01</t>
  </si>
  <si>
    <t>ASG008-01</t>
  </si>
  <si>
    <t>ASG033-02</t>
  </si>
  <si>
    <t>ASG064-02</t>
  </si>
  <si>
    <t>ASG065-01</t>
  </si>
  <si>
    <t>ASG070-01</t>
  </si>
  <si>
    <t>Mi</t>
  </si>
  <si>
    <t>ASG032-01</t>
  </si>
  <si>
    <t>ASG034-01</t>
  </si>
  <si>
    <t>ASG028-02</t>
  </si>
  <si>
    <t>ASG068-01</t>
  </si>
  <si>
    <t>ASG007-02</t>
  </si>
  <si>
    <t>ASG016-01</t>
  </si>
  <si>
    <t>ASG033-01</t>
  </si>
  <si>
    <t>ASG041-01</t>
  </si>
  <si>
    <t>ASG053-01</t>
  </si>
  <si>
    <t>ASG001-01</t>
  </si>
  <si>
    <t>ASG057-01</t>
  </si>
  <si>
    <t>ASG014-01</t>
  </si>
  <si>
    <t>ASG060-01</t>
  </si>
  <si>
    <t>Ju</t>
  </si>
  <si>
    <t>ASG023-02</t>
  </si>
  <si>
    <t>ASG015-01</t>
  </si>
  <si>
    <t>ASG061-01</t>
  </si>
  <si>
    <t>ASG045-02</t>
  </si>
  <si>
    <t>ASG051-02</t>
  </si>
  <si>
    <t>ASG007-01</t>
  </si>
  <si>
    <t>Vi</t>
  </si>
  <si>
    <t>ASG049-01</t>
  </si>
  <si>
    <t>Código</t>
  </si>
  <si>
    <t>Nombre</t>
  </si>
  <si>
    <t>Horario</t>
  </si>
  <si>
    <t>CUR01</t>
  </si>
  <si>
    <t>01</t>
  </si>
  <si>
    <t>Asignatura ASG001</t>
  </si>
  <si>
    <t>DOC001, DOC005, DOC006, DOC007</t>
  </si>
  <si>
    <t>Mi 7-8 Tal, Vi 9-10 Cát</t>
  </si>
  <si>
    <t>DOC002, DOC008, DOC012, DOC013</t>
  </si>
  <si>
    <t>Lu 13-14 Tal, Ju 1-2 Cát</t>
  </si>
  <si>
    <t>CUR07</t>
  </si>
  <si>
    <t>Asignatura ASG002</t>
  </si>
  <si>
    <t>DOC003, DOC009, DOC014</t>
  </si>
  <si>
    <t>Ma 9-10 Cát, Vi 9-10 Lab</t>
  </si>
  <si>
    <t>DOC004, DOC010</t>
  </si>
  <si>
    <t>Lu 9-10 Cát, Lu 7-8 Lab</t>
  </si>
  <si>
    <t>CUR13</t>
  </si>
  <si>
    <t>Asignatura ASG003</t>
  </si>
  <si>
    <t>DOC005, DOC011</t>
  </si>
  <si>
    <t>Vi 13-14 Lab, Mi 7-8 Lab, Lu 3-4 Cát</t>
  </si>
  <si>
    <t>Asignatura ASG004</t>
  </si>
  <si>
    <t>DOC006, DOC015</t>
  </si>
  <si>
    <t>Lu 9-10 Cát, Vi 11-12 Ay.</t>
  </si>
  <si>
    <t>CUR03</t>
  </si>
  <si>
    <t>Asignatura ASG005</t>
  </si>
  <si>
    <t>Vi 1-2 Cát, Ma 5-6 Cát</t>
  </si>
  <si>
    <t>CUR02</t>
  </si>
  <si>
    <t>Asignatura ASG006</t>
  </si>
  <si>
    <t>Ju 3-4 Lab, Ma 1-2 Lab</t>
  </si>
  <si>
    <t>Mi 13-14 Lab, Lu 7-8 Lab</t>
  </si>
  <si>
    <t>CUR08</t>
  </si>
  <si>
    <t>Asignatura ASG007</t>
  </si>
  <si>
    <t>Ju 11-12 Lab, Vi 11-12 Lab</t>
  </si>
  <si>
    <t>Mi 5-6 Lab, Vi 7-8 Lab</t>
  </si>
  <si>
    <t>CUR12</t>
  </si>
  <si>
    <t>Asignatura ASG008</t>
  </si>
  <si>
    <t>Ju 5-6 Ay., Ma 13-14 Cát</t>
  </si>
  <si>
    <t>Mi 1-2 Ay., Lu 9-10 Cát</t>
  </si>
  <si>
    <t>CUR11</t>
  </si>
  <si>
    <t>Asignatura ASG009</t>
  </si>
  <si>
    <t>Mi 7-8 Tal, Lu 13-14 Cát</t>
  </si>
  <si>
    <t>CUR04</t>
  </si>
  <si>
    <t>Asignatura ASG010</t>
  </si>
  <si>
    <t>Mi 7-8 Cát, Lu 13-14 Cát</t>
  </si>
  <si>
    <t>Asignatura ASG011</t>
  </si>
  <si>
    <t>Mi 5-6 Lab, Lu 9-10 Tal</t>
  </si>
  <si>
    <t>Ma 9-10 Lab, Ju 9-10 Tal</t>
  </si>
  <si>
    <t>Asignatura ASG012</t>
  </si>
  <si>
    <t>Ma 5-6 Cát, Lu 9-10 Tal, Mi 13-14 Cát</t>
  </si>
  <si>
    <t>Ma 1-2 Cát, Mi 9-10 Tal, Lu 7-8 Cát</t>
  </si>
  <si>
    <t>Asignatura ASG013</t>
  </si>
  <si>
    <t>Vi 9-10 Tal, Lu 11-12 Cát</t>
  </si>
  <si>
    <t>Lu 9-10 Tal, Ma 9-10 Cát</t>
  </si>
  <si>
    <t>Asignatura ASG014</t>
  </si>
  <si>
    <t>Mi 11-12 Lab, Ju 1-2 Cát</t>
  </si>
  <si>
    <t>CUR05</t>
  </si>
  <si>
    <t>Asignatura ASG015</t>
  </si>
  <si>
    <t>Ju 11-12 Cát, Ju 3-4 Cát, Ju 13-14 Cát</t>
  </si>
  <si>
    <t>Asignatura ASG016</t>
  </si>
  <si>
    <t>Mi 5-6 Ay., Vi 7-8 Cát</t>
  </si>
  <si>
    <t>CUR06</t>
  </si>
  <si>
    <t>Asignatura ASG017</t>
  </si>
  <si>
    <t>Lu 9-10 Tal, Mi 13-14 Cát</t>
  </si>
  <si>
    <t>Asignatura ASG018</t>
  </si>
  <si>
    <t>Lu 7-8 Cát, Mi 9-10 Ay.</t>
  </si>
  <si>
    <t>Asignatura ASG019</t>
  </si>
  <si>
    <t>Vi 9-10 Cát, Ma 3-4 Cát, Ju 13-14 Tal</t>
  </si>
  <si>
    <t>Ju 5-6 Cát, Ma 3-4 Cát, Mi 5-6 Tal</t>
  </si>
  <si>
    <t>CUR09</t>
  </si>
  <si>
    <t>Asignatura ASG020</t>
  </si>
  <si>
    <t>Lu 1-2 Cát, Ju 3-4 Lab</t>
  </si>
  <si>
    <t>Mi 9-10 Cát, Ma 9-10 Lab</t>
  </si>
  <si>
    <t>Asignatura ASG021</t>
  </si>
  <si>
    <t>Vi 3-4 Ay., Ma 9-10 Tal</t>
  </si>
  <si>
    <t>Asignatura ASG022</t>
  </si>
  <si>
    <t>Vi 1-2 Cát, Ma 7-8 Cát</t>
  </si>
  <si>
    <t>Lu 3-4 Cát, Ma 5-6 Cát</t>
  </si>
  <si>
    <t>CUR15</t>
  </si>
  <si>
    <t>Asignatura ASG023</t>
  </si>
  <si>
    <t>Mi 7-8 Ay., Ma 11-12 Tal</t>
  </si>
  <si>
    <t>Ju 1-2 Ay., Vi 1-2 Tal</t>
  </si>
  <si>
    <t>Asignatura ASG024</t>
  </si>
  <si>
    <t>Lu 3-4 Ay., Vi 11-12 Cát</t>
  </si>
  <si>
    <t>Ju 5-6 Ay., Lu 13-14 Cát</t>
  </si>
  <si>
    <t>Asignatura ASG025</t>
  </si>
  <si>
    <t>Vi 1-2 Cát, Ma 9-10 Tal, Ju 3-4 Cát</t>
  </si>
  <si>
    <t>Mi 3-4 Cát, Ma 11-12 Tal, Ju 5-6 Cát</t>
  </si>
  <si>
    <t>Asignatura ASG026</t>
  </si>
  <si>
    <t>Ju 13-14 Cát, Lu 13-14 Cát, Ma 9-10 Lab</t>
  </si>
  <si>
    <t>Asignatura ASG027</t>
  </si>
  <si>
    <t>Lu 7-8 Cát, Ma 9-10 Tal, Vi 7-8 Tal</t>
  </si>
  <si>
    <t>Ju 9-10 Cát, Vi 5-6 Tal, Lu 9-10 Tal</t>
  </si>
  <si>
    <t>Asignatura ASG028</t>
  </si>
  <si>
    <t>Ma 9-10 Cát, Vi 5-6 Cát, Lu 9-10 Cát</t>
  </si>
  <si>
    <t>Ju 9-10 Cát, Mi 5-6 Cát, Mi 3-4 Cát</t>
  </si>
  <si>
    <t>CUR10</t>
  </si>
  <si>
    <t>Asignatura ASG029</t>
  </si>
  <si>
    <t>Lu 11-12 Lab, Ma 7-8 Cát, Mi 1-2 Lab</t>
  </si>
  <si>
    <t>CUR14</t>
  </si>
  <si>
    <t>Asignatura ASG030</t>
  </si>
  <si>
    <t>Ju 3-4 Cát, Ma 1-2 Cát, Lu 9-10 Lab</t>
  </si>
  <si>
    <t>Asignatura ASG031</t>
  </si>
  <si>
    <t>Lu 1-2 Ay., Ma 5-6 Lab, Mi 3-4 Cát</t>
  </si>
  <si>
    <t>Ma 9-10 Ay., Ma 3-4 Lab, Ju 13-14 Cát</t>
  </si>
  <si>
    <t>Asignatura ASG032</t>
  </si>
  <si>
    <t>Vi 11-12 Lab, Mi 1-2 Cát</t>
  </si>
  <si>
    <t>Asignatura ASG033</t>
  </si>
  <si>
    <t>Vi 11-12 Cát, Mi 5-6 Lab</t>
  </si>
  <si>
    <t>Vi 9-10 Cát, Ma 13-14 Lab</t>
  </si>
  <si>
    <t>Asignatura ASG034</t>
  </si>
  <si>
    <t>Mi 1-2 Tal, Ju 5-6 Cát</t>
  </si>
  <si>
    <t>Mi 13-14 Tal, Ma 3-4 Cát</t>
  </si>
  <si>
    <t>Asignatura ASG035</t>
  </si>
  <si>
    <t>Mi 3-4 Ay., Lu 11-12 Cát</t>
  </si>
  <si>
    <t>Asignatura ASG036</t>
  </si>
  <si>
    <t>Lu 9-10 Cát, Vi 7-8 Cát</t>
  </si>
  <si>
    <t>Asignatura ASG037</t>
  </si>
  <si>
    <t>Mi 13-14 Cát, Lu 5-6 Cát</t>
  </si>
  <si>
    <t>Asignatura ASG038</t>
  </si>
  <si>
    <t>Ma 11-12 Cát, Mi 7-8 Cát</t>
  </si>
  <si>
    <t>Ma 9-10 Cát, Vi 7-8 Cát</t>
  </si>
  <si>
    <t>Asignatura ASG039</t>
  </si>
  <si>
    <t>Mi 9-10 Cát, Lu 11-12 Cát</t>
  </si>
  <si>
    <t>Lu 1-2 Cát, Vi 13-14 Cát</t>
  </si>
  <si>
    <t>Asignatura ASG040</t>
  </si>
  <si>
    <t>Lu 3-4 Ay., Mi 3-4 Lab</t>
  </si>
  <si>
    <t>Ju 1-2 Ay., Ma 3-4 Lab</t>
  </si>
  <si>
    <t>Asignatura ASG041</t>
  </si>
  <si>
    <t>Mi 5-6 Tal, Vi 1-2 Cát</t>
  </si>
  <si>
    <t>Ma 3-4 Tal, Mi 3-4 Cát</t>
  </si>
  <si>
    <t>Asignatura ASG042</t>
  </si>
  <si>
    <t>Lu 11-12 Cát, Ma 11-12 Ay., Ma 13-14 Tal</t>
  </si>
  <si>
    <t>Asignatura ASG043</t>
  </si>
  <si>
    <t>Ju 11-12 Tal, Lu 5-6 Lab, Mi 7-8 Lab</t>
  </si>
  <si>
    <t>Vi 1-2 Tal, Ma 7-8 Lab, Ju 11-12 Lab</t>
  </si>
  <si>
    <t>Asignatura ASG044</t>
  </si>
  <si>
    <t>Ma 7-8 Cát, Lu 5-6 Cát, Mi 9-10 Cát</t>
  </si>
  <si>
    <t>Asignatura ASG045</t>
  </si>
  <si>
    <t>Lu 3-4 Lab, Mi 13-14 Cát</t>
  </si>
  <si>
    <t>Vi 1-2 Lab, Ju 9-10 Cát</t>
  </si>
  <si>
    <t>Asignatura ASG046</t>
  </si>
  <si>
    <t>Ma 7-8 Tal, Mi 11-12 Cát, Lu 7-8 Lab</t>
  </si>
  <si>
    <t>Asignatura ASG047</t>
  </si>
  <si>
    <t>Lu 13-14 Ay., Vi 13-14 Cát, Ju 11-12 Cát</t>
  </si>
  <si>
    <t>Mi 9-10 Ay., Ma 13-14 Cát, Lu 5-6 Cát</t>
  </si>
  <si>
    <t>Asignatura ASG048</t>
  </si>
  <si>
    <t>Ma 7-8 Cát, Vi 13-14 Cát, Ju 13-14 Ay.</t>
  </si>
  <si>
    <t>Ju 5-6 Cát, Lu 11-12 Cát, Mi 5-6 Ay.</t>
  </si>
  <si>
    <t>Asignatura ASG049</t>
  </si>
  <si>
    <t>Vi 5-6 Cát, Vi 3-4 Ay.</t>
  </si>
  <si>
    <t>Asignatura ASG050</t>
  </si>
  <si>
    <t>Ma 7-8 Cát, Lu 7-8 Ay.</t>
  </si>
  <si>
    <t>Asignatura ASG051</t>
  </si>
  <si>
    <t>Ju 9-10 Cát, Ma 11-12 Lab</t>
  </si>
  <si>
    <t>Vi 11-12 Cát, Ju 9-10 Lab</t>
  </si>
  <si>
    <t>Asignatura ASG052</t>
  </si>
  <si>
    <t>Lu 5-6 Lab, Ma 11-12 Cát, Mi 3-4 Cát</t>
  </si>
  <si>
    <t>Asignatura ASG053</t>
  </si>
  <si>
    <t>Mi 5-6 Cát, Vi 5-6 Lab</t>
  </si>
  <si>
    <t>Asignatura ASG054</t>
  </si>
  <si>
    <t>Lu 11-12 Tal, Vi 11-12 Cát</t>
  </si>
  <si>
    <t>Asignatura ASG055</t>
  </si>
  <si>
    <t>Ju 1-2 Cát, Lu 1-2 Cát, Ma 1-2 Lab</t>
  </si>
  <si>
    <t>Ju 11-12 Cát, Lu 11-12 Cát, Ma 1-2 Lab</t>
  </si>
  <si>
    <t>Asignatura ASG056</t>
  </si>
  <si>
    <t>Ma 3-4 Lab, Mi 7-8 Lab</t>
  </si>
  <si>
    <t>Asignatura ASG057</t>
  </si>
  <si>
    <t>Mi 7-8 Lab, Vi 9-10 Cát</t>
  </si>
  <si>
    <t>Ma 9-10 Lab, Ju 9-10 Cát</t>
  </si>
  <si>
    <t>Asignatura ASG058</t>
  </si>
  <si>
    <t>Ju 9-10 Cát, Ma 3-4 Cát</t>
  </si>
  <si>
    <t>Mi 5-6 Cát, Ma 5-6 Cát</t>
  </si>
  <si>
    <t>Asignatura ASG059</t>
  </si>
  <si>
    <t>Ju 11-12 Lab, Ma 7-8 Lab</t>
  </si>
  <si>
    <t>Vi 5-6 Lab, Ma 3-4 Lab</t>
  </si>
  <si>
    <t>Asignatura ASG060</t>
  </si>
  <si>
    <t>Ju 1-2 Cát, Mi 11-12 Ay.</t>
  </si>
  <si>
    <t>Asignatura ASG061</t>
  </si>
  <si>
    <t>Vi 3-4 Cát, Ju 3-4 Ay.</t>
  </si>
  <si>
    <t>Asignatura ASG062</t>
  </si>
  <si>
    <t>Lu 1-2 Cát, Ju 13-14 Lab</t>
  </si>
  <si>
    <t>Asignatura ASG063</t>
  </si>
  <si>
    <t>Mi 5-6 Ay., Lu 9-10 Tal, Mi 9-10 Cát</t>
  </si>
  <si>
    <t>Mi 7-8 Ay., Ju 9-10 Tal, Ma 3-4 Cát</t>
  </si>
  <si>
    <t>Asignatura ASG064</t>
  </si>
  <si>
    <t>Lu 3-4 Cát, Mi 3-4 Ay.</t>
  </si>
  <si>
    <t>Ma 13-14 Cát, Ju 11-12 Ay.</t>
  </si>
  <si>
    <t>Asignatura ASG065</t>
  </si>
  <si>
    <t>Ma 13-14 Cát, Vi 3-4 Cát</t>
  </si>
  <si>
    <t>Asignatura ASG066</t>
  </si>
  <si>
    <t>Vi 5-6 Cát, Mi 7-8 Cát, Lu 5-6 Ay.</t>
  </si>
  <si>
    <t>Asignatura ASG067</t>
  </si>
  <si>
    <t>Ma 5-6 Lab, Mi 11-12 Cát</t>
  </si>
  <si>
    <t>Asignatura ASG068</t>
  </si>
  <si>
    <t>Ju 9-10 Lab, Mi 3-4 Cát</t>
  </si>
  <si>
    <t>Asignatura ASG069</t>
  </si>
  <si>
    <t>Mi 11-12 Cát, Ma 7-8 Cát</t>
  </si>
  <si>
    <t>Asignatura ASG070</t>
  </si>
  <si>
    <t>Vi 9-10 Lab, Ma 13-14 Cát</t>
  </si>
  <si>
    <t>Asignaturas</t>
  </si>
  <si>
    <t>ASG001-01, ASG033-02, ASG067-01</t>
  </si>
  <si>
    <t>ASG001-02, ASG034-01, ASG068-01</t>
  </si>
  <si>
    <t>ASG002-01, ASG034-02, ASG069-01</t>
  </si>
  <si>
    <t>ASG002-02, ASG035-01, ASG070-01</t>
  </si>
  <si>
    <t>ASG001-01, ASG003-01, ASG036-01</t>
  </si>
  <si>
    <t>ASG001-01, ASG004-01, ASG037-01</t>
  </si>
  <si>
    <t>ASG001-01, ASG005-01, ASG038-01</t>
  </si>
  <si>
    <t>ASG001-02, ASG006-01, ASG038-02</t>
  </si>
  <si>
    <t>ASG002-01, ASG006-02, ASG039-01</t>
  </si>
  <si>
    <t>ASG002-02, ASG007-01, ASG039-02</t>
  </si>
  <si>
    <t>ASG003-01, ASG007-02, ASG040-01</t>
  </si>
  <si>
    <t>ASG001-02, ASG008-01, ASG040-02</t>
  </si>
  <si>
    <t>ASG001-02, ASG008-02, ASG041-01</t>
  </si>
  <si>
    <t>ASG002-01, ASG009-01, ASG041-02</t>
  </si>
  <si>
    <t>ASG004-01, ASG010-01, ASG042-01</t>
  </si>
  <si>
    <t>ASG011-01, ASG043-01</t>
  </si>
  <si>
    <t>ASG011-02, ASG043-02</t>
  </si>
  <si>
    <t>ASG012-01, ASG044-01</t>
  </si>
  <si>
    <t>ASG012-02, ASG045-01</t>
  </si>
  <si>
    <t>ASG013-01, ASG045-02</t>
  </si>
  <si>
    <t>ASG013-02, ASG046-01</t>
  </si>
  <si>
    <t>ASG014-01, ASG047-01</t>
  </si>
  <si>
    <t>ASG015-01, ASG047-02</t>
  </si>
  <si>
    <t>ASG016-01, ASG048-01</t>
  </si>
  <si>
    <t>ASG017-01, ASG048-02</t>
  </si>
  <si>
    <t>ASG018-01, ASG049-01</t>
  </si>
  <si>
    <t>ASG019-01, ASG050-01</t>
  </si>
  <si>
    <t>ASG019-02, ASG051-01</t>
  </si>
  <si>
    <t>ASG020-01, ASG051-02</t>
  </si>
  <si>
    <t>ASG020-02, ASG052-01</t>
  </si>
  <si>
    <t>ASG021-01, ASG053-01</t>
  </si>
  <si>
    <t>ASG022-01, ASG054-01</t>
  </si>
  <si>
    <t>ASG022-02, ASG055-01</t>
  </si>
  <si>
    <t>ASG023-01, ASG055-02</t>
  </si>
  <si>
    <t>ASG023-02, ASG056-01</t>
  </si>
  <si>
    <t>ASG024-01, ASG057-01</t>
  </si>
  <si>
    <t>ASG024-02, ASG057-02</t>
  </si>
  <si>
    <t>ASG025-01, ASG058-01</t>
  </si>
  <si>
    <t>ASG025-02, ASG058-02</t>
  </si>
  <si>
    <t>ASG026-01, ASG059-01</t>
  </si>
  <si>
    <t>ASG027-01, ASG059-02</t>
  </si>
  <si>
    <t>ASG027-02, ASG060-01</t>
  </si>
  <si>
    <t>ASG028-01, ASG061-01</t>
  </si>
  <si>
    <t>ASG028-02, ASG062-01</t>
  </si>
  <si>
    <t>ASG029-01, ASG063-01</t>
  </si>
  <si>
    <t>ASG030-01, ASG063-02</t>
  </si>
  <si>
    <t>ASG031-01, ASG064-01</t>
  </si>
  <si>
    <t>ASG031-02, ASG064-02</t>
  </si>
  <si>
    <t>ASG032-01, ASG065-01</t>
  </si>
  <si>
    <t>ASG033-01, ASG066-01</t>
  </si>
  <si>
    <t>ID</t>
  </si>
  <si>
    <t>EST0001</t>
  </si>
  <si>
    <t>ASG039-01, ASG057-01, ASG059-01</t>
  </si>
  <si>
    <t>EST0002</t>
  </si>
  <si>
    <t>ASG029-01, ASG031-02, ASG064-02</t>
  </si>
  <si>
    <t>EST0003</t>
  </si>
  <si>
    <t>ASG005-01, ASG024-01, ASG033-02, ASG055-01</t>
  </si>
  <si>
    <t>EST0004</t>
  </si>
  <si>
    <t>ASG005-01, ASG024-01, ASG066-01</t>
  </si>
  <si>
    <t>EST0005</t>
  </si>
  <si>
    <t>ASG013-02, ASG018-01, ASG048-01</t>
  </si>
  <si>
    <t>EST0006</t>
  </si>
  <si>
    <t>ASG001-01, ASG004-01, ASG052-01</t>
  </si>
  <si>
    <t>EST0007</t>
  </si>
  <si>
    <t>ASG007-02, ASG044-01, ASG049-01</t>
  </si>
  <si>
    <t>EST0008</t>
  </si>
  <si>
    <t>ASG003-01, ASG026-01, ASG046-01</t>
  </si>
  <si>
    <t>EST0009</t>
  </si>
  <si>
    <t>EST0010</t>
  </si>
  <si>
    <t>ASG008-01, ASG028-01, ASG059-01, ASG061-01</t>
  </si>
  <si>
    <t>EST0011</t>
  </si>
  <si>
    <t>ASG002-02, ASG043-02, ASG056-01</t>
  </si>
  <si>
    <t>EST0012</t>
  </si>
  <si>
    <t>ASG025-01, ASG035-01, ASG065-01</t>
  </si>
  <si>
    <t>EST0013</t>
  </si>
  <si>
    <t>ASG015-01, ASG051-01, ASG060-01</t>
  </si>
  <si>
    <t>EST0014</t>
  </si>
  <si>
    <t>ASG015-01, ASG027-02, ASG038-01</t>
  </si>
  <si>
    <t>EST0015</t>
  </si>
  <si>
    <t>ASG015-01, ASG027-02, ASG038-02, ASG060-01</t>
  </si>
  <si>
    <t>EST0016</t>
  </si>
  <si>
    <t>ASG020-02, ASG034-01, ASG042-01</t>
  </si>
  <si>
    <t>EST0017</t>
  </si>
  <si>
    <t>ASG009-01, ASG013-01, ASG018-01</t>
  </si>
  <si>
    <t>EST0018</t>
  </si>
  <si>
    <t>ASG023-02, ASG035-01, ASG065-01</t>
  </si>
  <si>
    <t>EST0019</t>
  </si>
  <si>
    <t>ASG001-01, ASG050-01, ASG052-01</t>
  </si>
  <si>
    <t>EST0020</t>
  </si>
  <si>
    <t>ASG002-01, ASG011-01, ASG035-01</t>
  </si>
  <si>
    <t>EST0021</t>
  </si>
  <si>
    <t>ASG015-01, ASG040-01, ASG070-01</t>
  </si>
  <si>
    <t>EST0022</t>
  </si>
  <si>
    <t>ASG029-01, ASG031-02, ASG063-01, ASG064-02</t>
  </si>
  <si>
    <t>EST0023</t>
  </si>
  <si>
    <t>ASG027-01, ASG038-01, ASG040-01, ASG060-01</t>
  </si>
  <si>
    <t>EST0024</t>
  </si>
  <si>
    <t>ASG027-01, ASG038-01, ASG060-01</t>
  </si>
  <si>
    <t>EST0025</t>
  </si>
  <si>
    <t>EST0026</t>
  </si>
  <si>
    <t>ASG028-02, ASG059-02, ASG061-01</t>
  </si>
  <si>
    <t>EST0027</t>
  </si>
  <si>
    <t>ASG002-01, ASG044-01, ASG068-01</t>
  </si>
  <si>
    <t>EST0028</t>
  </si>
  <si>
    <t>ASG019-01, ASG024-02, ASG055-02</t>
  </si>
  <si>
    <t>EST0029</t>
  </si>
  <si>
    <t>ASG043-02, ASG062-01, ASG068-01</t>
  </si>
  <si>
    <t>EST0030</t>
  </si>
  <si>
    <t>ASG021-01, ASG022-01, ASG045-01</t>
  </si>
  <si>
    <t>EST0031</t>
  </si>
  <si>
    <t>ASG001-02, ASG004-01, ASG050-01, ASG052-01</t>
  </si>
  <si>
    <t>EST0032</t>
  </si>
  <si>
    <t>ASG020-02, ASG034-02, ASG042-01</t>
  </si>
  <si>
    <t>EST0033</t>
  </si>
  <si>
    <t>ASG006-01, ASG021-01, ASG041-02</t>
  </si>
  <si>
    <t>EST0034</t>
  </si>
  <si>
    <t>ASG026-01, ASG033-02, ASG037-01</t>
  </si>
  <si>
    <t>EST0035</t>
  </si>
  <si>
    <t>EST0036</t>
  </si>
  <si>
    <t>EST0037</t>
  </si>
  <si>
    <t>ASG007-02, ASG044-01, ASG068-01</t>
  </si>
  <si>
    <t>EST0038</t>
  </si>
  <si>
    <t>ASG043-02, ASG056-01, ASG062-01</t>
  </si>
  <si>
    <t>EST0039</t>
  </si>
  <si>
    <t>ASG035-01, ASG053-01, ASG065-01</t>
  </si>
  <si>
    <t>EST0040</t>
  </si>
  <si>
    <t>ASG004-01, ASG052-01, ASG057-02</t>
  </si>
  <si>
    <t>EST0041</t>
  </si>
  <si>
    <t>ASG001-02, ASG004-01, ASG052-01</t>
  </si>
  <si>
    <t>EST0042</t>
  </si>
  <si>
    <t>ASG039-01, ASG053-01, ASG067-01</t>
  </si>
  <si>
    <t>EST0043</t>
  </si>
  <si>
    <t>ASG032-01, ASG040-01, ASG063-02</t>
  </si>
  <si>
    <t>EST0044</t>
  </si>
  <si>
    <t>ASG017-01, ASG028-02, ASG067-01</t>
  </si>
  <si>
    <t>EST0045</t>
  </si>
  <si>
    <t>ASG018-01, ASG026-01, ASG036-01</t>
  </si>
  <si>
    <t>EST0046</t>
  </si>
  <si>
    <t>ASG026-01, ASG033-02, ASG046-01</t>
  </si>
  <si>
    <t>EST0047</t>
  </si>
  <si>
    <t>ASG006-02, ASG022-02, ASG045-02</t>
  </si>
  <si>
    <t>EST0048</t>
  </si>
  <si>
    <t>ASG016-01, ASG030-01, ASG041-02</t>
  </si>
  <si>
    <t>EST0049</t>
  </si>
  <si>
    <t>ASG007-02, ASG049-01, ASG068-01</t>
  </si>
  <si>
    <t>EST0050</t>
  </si>
  <si>
    <t>ASG003-01, ASG037-01, ASG046-01</t>
  </si>
  <si>
    <t>EST0051</t>
  </si>
  <si>
    <t>ASG006-01, ASG022-01, ASG045-01</t>
  </si>
  <si>
    <t>EST0052</t>
  </si>
  <si>
    <t>ASG008-01, ASG061-01, ASG066-01</t>
  </si>
  <si>
    <t>EST0053</t>
  </si>
  <si>
    <t>ASG010-01, ASG014-01, ASG054-01</t>
  </si>
  <si>
    <t>EST0054</t>
  </si>
  <si>
    <t>ASG016-01, ASG044-01, ASG049-01, ASG068-01</t>
  </si>
  <si>
    <t>EST0055</t>
  </si>
  <si>
    <t>ASG031-01, ASG058-01, ASG063-01</t>
  </si>
  <si>
    <t>EST0056</t>
  </si>
  <si>
    <t>EST0057</t>
  </si>
  <si>
    <t>ASG016-01, ASG044-01, ASG049-01</t>
  </si>
  <si>
    <t>EST0058</t>
  </si>
  <si>
    <t>ASG030-01, ASG032-01, ASG040-02</t>
  </si>
  <si>
    <t>EST0059</t>
  </si>
  <si>
    <t>ASG020-01, ASG029-01, ASG058-02, ASG064-01</t>
  </si>
  <si>
    <t>EST0060</t>
  </si>
  <si>
    <t>ASG031-02, ASG058-02, ASG064-01</t>
  </si>
  <si>
    <t>EST0061</t>
  </si>
  <si>
    <t>ASG009-01, ASG013-02, ASG048-02</t>
  </si>
  <si>
    <t>EST0062</t>
  </si>
  <si>
    <t>ASG039-02, ASG057-02, ASG067-01</t>
  </si>
  <si>
    <t>EST0063</t>
  </si>
  <si>
    <t>ASG026-01, ASG037-01, ASG046-01</t>
  </si>
  <si>
    <t>EST0064</t>
  </si>
  <si>
    <t>ASG023-02, ASG025-02, ASG028-01, ASG065-01</t>
  </si>
  <si>
    <t>EST0065</t>
  </si>
  <si>
    <t>ASG008-01, ASG017-01, ASG047-01, ASG067-01</t>
  </si>
  <si>
    <t>EST0066</t>
  </si>
  <si>
    <t>ASG010-01, ASG012-01, ASG014-01, ASG054-01</t>
  </si>
  <si>
    <t>EST0067</t>
  </si>
  <si>
    <t>ASG029-01, ASG031-01, ASG058-01</t>
  </si>
  <si>
    <t>EST0068</t>
  </si>
  <si>
    <t>ASG025-01, ASG042-01, ASG065-01</t>
  </si>
  <si>
    <t>EST0069</t>
  </si>
  <si>
    <t>ASG007-01, ASG016-01, ASG044-01</t>
  </si>
  <si>
    <t>EST0070</t>
  </si>
  <si>
    <t>EST0071</t>
  </si>
  <si>
    <t>ASG029-01, ASG031-01, ASG058-01, ASG063-01</t>
  </si>
  <si>
    <t>EST0072</t>
  </si>
  <si>
    <t>ASG029-01, ASG058-02, ASG064-01</t>
  </si>
  <si>
    <t>EST0073</t>
  </si>
  <si>
    <t>EST0074</t>
  </si>
  <si>
    <t>ASG017-01, ASG057-01, ASG067-01</t>
  </si>
  <si>
    <t>EST0075</t>
  </si>
  <si>
    <t>ASG016-01, ASG044-01, ASG068-01</t>
  </si>
  <si>
    <t>EST0076</t>
  </si>
  <si>
    <t>ASG009-01, ASG018-01, ASG048-02</t>
  </si>
  <si>
    <t>EST0077</t>
  </si>
  <si>
    <t>ASG012-02, ASG036-01, ASG054-01</t>
  </si>
  <si>
    <t>EST0078</t>
  </si>
  <si>
    <t>ASG016-01, ASG029-01, ASG044-01</t>
  </si>
  <si>
    <t>EST0079</t>
  </si>
  <si>
    <t>ASG017-01, ASG039-01, ASG057-02</t>
  </si>
  <si>
    <t>EST0080</t>
  </si>
  <si>
    <t>ASG047-01, ASG057-01, ASG065-01</t>
  </si>
  <si>
    <t>EST0081</t>
  </si>
  <si>
    <t>ASG014-01, ASG043-02, ASG066-01</t>
  </si>
  <si>
    <t>EST0082</t>
  </si>
  <si>
    <t>ASG039-02, ASG047-02, ASG067-01</t>
  </si>
  <si>
    <t>EST0083</t>
  </si>
  <si>
    <t>EST0084</t>
  </si>
  <si>
    <t>EST0085</t>
  </si>
  <si>
    <t>ASG027-02, ASG038-02, ASG060-01</t>
  </si>
  <si>
    <t>EST0086</t>
  </si>
  <si>
    <t>ASG020-01, ASG034-02, ASG069-01</t>
  </si>
  <si>
    <t>EST0087</t>
  </si>
  <si>
    <t>ASG006-02, ASG021-01, ASG022-02, ASG045-02</t>
  </si>
  <si>
    <t>EST0088</t>
  </si>
  <si>
    <t>ASG008-01, ASG059-02, ASG061-01, ASG067-01</t>
  </si>
  <si>
    <t>EST0089</t>
  </si>
  <si>
    <t>ASG010-01, ASG034-02, ASG042-01, ASG069-01</t>
  </si>
  <si>
    <t>EST0090</t>
  </si>
  <si>
    <t>ASG011-01, ASG043-02, ASG056-01</t>
  </si>
  <si>
    <t>EST0091</t>
  </si>
  <si>
    <t>ASG012-01, ASG014-01, ASG054-01</t>
  </si>
  <si>
    <t>EST0092</t>
  </si>
  <si>
    <t>ASG008-02, ASG059-02, ASG061-01</t>
  </si>
  <si>
    <t>EST0093</t>
  </si>
  <si>
    <t>ASG032-01, ASG040-01, ASG041-01</t>
  </si>
  <si>
    <t>EST0094</t>
  </si>
  <si>
    <t>ASG014-01, ASG021-01, ASG036-01, ASG054-01</t>
  </si>
  <si>
    <t>EST0095</t>
  </si>
  <si>
    <t>ASG006-01, ASG021-01, ASG045-01</t>
  </si>
  <si>
    <t>EST0096</t>
  </si>
  <si>
    <t>ASG045-01, ASG051-01, ASG053-01</t>
  </si>
  <si>
    <t>EST0097</t>
  </si>
  <si>
    <t>ASG003-01, ASG033-01, ASG046-01</t>
  </si>
  <si>
    <t>EST0098</t>
  </si>
  <si>
    <t>ASG006-01, ASG016-01, ASG022-02</t>
  </si>
  <si>
    <t>EST0099</t>
  </si>
  <si>
    <t>ASG031-01, ASG058-01, ASG064-02</t>
  </si>
  <si>
    <t>EST0100</t>
  </si>
  <si>
    <t>ASG007-02, ASG022-01, ASG049-01</t>
  </si>
  <si>
    <t>EST0101</t>
  </si>
  <si>
    <t>ASG007-02, ASG049-01, ASG056-01</t>
  </si>
  <si>
    <t>EST0102</t>
  </si>
  <si>
    <t>ASG029-01, ASG058-02, ASG063-02, ASG064-01</t>
  </si>
  <si>
    <t>EST0103</t>
  </si>
  <si>
    <t>ASG021-01, ASG034-01, ASG051-01</t>
  </si>
  <si>
    <t>EST0104</t>
  </si>
  <si>
    <t>ASG010-01, ASG012-02, ASG054-01</t>
  </si>
  <si>
    <t>EST0105</t>
  </si>
  <si>
    <t>ASG030-01, ASG032-01, ASG041-02</t>
  </si>
  <si>
    <t>EST0106</t>
  </si>
  <si>
    <t>ASG025-01, ASG035-01, ASG053-01</t>
  </si>
  <si>
    <t>EST0107</t>
  </si>
  <si>
    <t>ASG010-01, ASG031-02, ASG054-01</t>
  </si>
  <si>
    <t>EST0108</t>
  </si>
  <si>
    <t>EST0109</t>
  </si>
  <si>
    <t>ASG011-02, ASG056-01, ASG062-01</t>
  </si>
  <si>
    <t>EST0110</t>
  </si>
  <si>
    <t>EST0111</t>
  </si>
  <si>
    <t>ASG006-01, ASG022-02, ASG050-01</t>
  </si>
  <si>
    <t>EST0112</t>
  </si>
  <si>
    <t>ASG006-01, ASG021-01, ASG022-01, ASG045-01</t>
  </si>
  <si>
    <t>EST0113</t>
  </si>
  <si>
    <t>ASG003-01, ASG033-01, ASG037-01</t>
  </si>
  <si>
    <t>EST0114</t>
  </si>
  <si>
    <t>ASG011-02, ASG032-01, ASG070-01</t>
  </si>
  <si>
    <t>EST0115</t>
  </si>
  <si>
    <t>ASG023-01, ASG035-01, ASG053-01</t>
  </si>
  <si>
    <t>EST0116</t>
  </si>
  <si>
    <t>ASG005-01, ASG019-01, ASG024-01</t>
  </si>
  <si>
    <t>EST0117</t>
  </si>
  <si>
    <t>EST0118</t>
  </si>
  <si>
    <t>ASG005-01, ASG027-01, ASG066-01</t>
  </si>
  <si>
    <t>EST0119</t>
  </si>
  <si>
    <t>EST0120</t>
  </si>
  <si>
    <t>EST0121</t>
  </si>
  <si>
    <t>ASG023-02, ASG025-02, ASG065-01</t>
  </si>
  <si>
    <t>EST0122</t>
  </si>
  <si>
    <t>ASG012-02, ASG017-01, ASG067-01</t>
  </si>
  <si>
    <t>EST0123</t>
  </si>
  <si>
    <t>ASG007-02, ASG061-01, ASG068-01</t>
  </si>
  <si>
    <t>EST0124</t>
  </si>
  <si>
    <t>ASG015-01, ASG038-02, ASG060-01</t>
  </si>
  <si>
    <t>EST0125</t>
  </si>
  <si>
    <t>ASG007-01, ASG016-01, ASG044-01, ASG068-01</t>
  </si>
  <si>
    <t>EST0126</t>
  </si>
  <si>
    <t>EST0127</t>
  </si>
  <si>
    <t>EST0128</t>
  </si>
  <si>
    <t>ASG017-01, ASG039-02, ASG047-02, ASG057-02</t>
  </si>
  <si>
    <t>EST0129</t>
  </si>
  <si>
    <t>ASG005-01, ASG024-02, ASG055-02</t>
  </si>
  <si>
    <t>EST0130</t>
  </si>
  <si>
    <t>ASG001-01, ASG004-01, ASG050-01, ASG052-01</t>
  </si>
  <si>
    <t>EST0131</t>
  </si>
  <si>
    <t>ASG044-01, ASG049-01, ASG068-01</t>
  </si>
  <si>
    <t>EST0132</t>
  </si>
  <si>
    <t>EST0133</t>
  </si>
  <si>
    <t>EST0134</t>
  </si>
  <si>
    <t>ASG011-02, ASG017-01, ASG062-01</t>
  </si>
  <si>
    <t>EST0135</t>
  </si>
  <si>
    <t>EST0136</t>
  </si>
  <si>
    <t>ASG011-01, ASG026-01, ASG069-01</t>
  </si>
  <si>
    <t>EST0137</t>
  </si>
  <si>
    <t>ASG012-02, ASG014-01, ASG036-01</t>
  </si>
  <si>
    <t>EST0138</t>
  </si>
  <si>
    <t>ASG020-01, ASG034-01, ASG051-02</t>
  </si>
  <si>
    <t>EST0139</t>
  </si>
  <si>
    <t>ASG020-02, ASG034-02, ASG042-01, ASG069-01</t>
  </si>
  <si>
    <t>EST0140</t>
  </si>
  <si>
    <t>ASG020-01, ASG032-01, ASG070-01</t>
  </si>
  <si>
    <t>EST0141</t>
  </si>
  <si>
    <t>ASG038-01, ASG060-01, ASG065-01</t>
  </si>
  <si>
    <t>EST0142</t>
  </si>
  <si>
    <t>EST0143</t>
  </si>
  <si>
    <t>EST0144</t>
  </si>
  <si>
    <t>EST0145</t>
  </si>
  <si>
    <t>EST0146</t>
  </si>
  <si>
    <t>EST0147</t>
  </si>
  <si>
    <t>EST0148</t>
  </si>
  <si>
    <t>ASG020-02, ASG042-01, ASG051-02</t>
  </si>
  <si>
    <t>EST0149</t>
  </si>
  <si>
    <t>ASG002-01, ASG043-01, ASG062-01</t>
  </si>
  <si>
    <t>EST0150</t>
  </si>
  <si>
    <t>ASG023-02, ASG025-02, ASG050-01, ASG053-01</t>
  </si>
  <si>
    <t>EST0151</t>
  </si>
  <si>
    <t>ASG012-02, ASG014-01, ASG036-01, ASG054-01</t>
  </si>
  <si>
    <t>EST0152</t>
  </si>
  <si>
    <t>ASG040-01, ASG041-01, ASG047-02</t>
  </si>
  <si>
    <t>EST0153</t>
  </si>
  <si>
    <t>ASG017-01, ASG047-01, ASG067-01</t>
  </si>
  <si>
    <t>EST0154</t>
  </si>
  <si>
    <t>EST0155</t>
  </si>
  <si>
    <t>ASG001-02, ASG004-01, ASG033-02</t>
  </si>
  <si>
    <t>EST0156</t>
  </si>
  <si>
    <t>EST0157</t>
  </si>
  <si>
    <t>ASG017-01, ASG057-01, ASG060-01</t>
  </si>
  <si>
    <t>EST0158</t>
  </si>
  <si>
    <t>ASG009-01, ASG018-01, ASG031-01, ASG048-02</t>
  </si>
  <si>
    <t>EST0159</t>
  </si>
  <si>
    <t>ASG033-01, ASG037-01, ASG046-01</t>
  </si>
  <si>
    <t>EST0160</t>
  </si>
  <si>
    <t>ASG017-01, ASG039-01, ASG067-01</t>
  </si>
  <si>
    <t>EST0161</t>
  </si>
  <si>
    <t>ASG009-01, ASG013-01, ASG018-01, ASG048-01</t>
  </si>
  <si>
    <t>EST0162</t>
  </si>
  <si>
    <t>ASG030-01, ASG040-02, ASG041-01</t>
  </si>
  <si>
    <t>EST0163</t>
  </si>
  <si>
    <t>ASG013-01, ASG021-01, ASG022-02, ASG045-02</t>
  </si>
  <si>
    <t>EST0164</t>
  </si>
  <si>
    <t>ASG024-02, ASG036-01, ASG047-02, ASG054-01</t>
  </si>
  <si>
    <t>EST0165</t>
  </si>
  <si>
    <t>ASG001-01, ASG040-02, ASG050-01, ASG052-01</t>
  </si>
  <si>
    <t>EST0166</t>
  </si>
  <si>
    <t>ASG012-01, ASG054-01, ASG057-02</t>
  </si>
  <si>
    <t>EST0167</t>
  </si>
  <si>
    <t>EST0168</t>
  </si>
  <si>
    <t>ASG039-02, ASG057-01, ASG061-01</t>
  </si>
  <si>
    <t>EST0169</t>
  </si>
  <si>
    <t>ASG001-01, ASG004-01, ASG050-01</t>
  </si>
  <si>
    <t>EST0170</t>
  </si>
  <si>
    <t>ASG019-02, ASG066-01, ASG067-01</t>
  </si>
  <si>
    <t>EST0171</t>
  </si>
  <si>
    <t>ASG034-02, ASG051-02, ASG069-01</t>
  </si>
  <si>
    <t>EST0172</t>
  </si>
  <si>
    <t>ASG011-02, ASG043-02, ASG056-01, ASG062-01</t>
  </si>
  <si>
    <t>EST0173</t>
  </si>
  <si>
    <t>ASG025-01, ASG033-01, ASG035-01</t>
  </si>
  <si>
    <t>EST0174</t>
  </si>
  <si>
    <t>ASG039-01, ASG047-01, ASG067-01</t>
  </si>
  <si>
    <t>EST0175</t>
  </si>
  <si>
    <t>ASG028-02, ASG059-01, ASG061-01</t>
  </si>
  <si>
    <t>EST0176</t>
  </si>
  <si>
    <t>EST0177</t>
  </si>
  <si>
    <t>EST0178</t>
  </si>
  <si>
    <t>ASG034-01, ASG042-01, ASG051-02</t>
  </si>
  <si>
    <t>EST0179</t>
  </si>
  <si>
    <t>ASG006-01, ASG021-01, ASG022-01, ASG039-01</t>
  </si>
  <si>
    <t>EST0180</t>
  </si>
  <si>
    <t>EST0181</t>
  </si>
  <si>
    <t>ASG026-01, ASG033-02, ASG037-01, ASG046-01</t>
  </si>
  <si>
    <t>EST0182</t>
  </si>
  <si>
    <t>ASG029-01, ASG063-01, ASG064-01</t>
  </si>
  <si>
    <t>EST0183</t>
  </si>
  <si>
    <t>ASG010-01, ASG012-02, ASG036-01, ASG054-01</t>
  </si>
  <si>
    <t>EST0184</t>
  </si>
  <si>
    <t>EST0185</t>
  </si>
  <si>
    <t>EST0186</t>
  </si>
  <si>
    <t>EST0187</t>
  </si>
  <si>
    <t>ASG002-02, ASG013-01, ASG043-01</t>
  </si>
  <si>
    <t>EST0188</t>
  </si>
  <si>
    <t>EST0189</t>
  </si>
  <si>
    <t>EST0190</t>
  </si>
  <si>
    <t>ASG026-01, ASG046-01, ASG053-01</t>
  </si>
  <si>
    <t>EST0191</t>
  </si>
  <si>
    <t>ASG019-01, ASG024-01, ASG066-01</t>
  </si>
  <si>
    <t>EST0192</t>
  </si>
  <si>
    <t>ASG005-01, ASG026-01, ASG055-02</t>
  </si>
  <si>
    <t>EST0193</t>
  </si>
  <si>
    <t>ASG014-01, ASG023-01, ASG053-01</t>
  </si>
  <si>
    <t>EST0194</t>
  </si>
  <si>
    <t>EST0195</t>
  </si>
  <si>
    <t>ASG005-01, ASG047-01, ASG054-01</t>
  </si>
  <si>
    <t>EST0196</t>
  </si>
  <si>
    <t>ASG009-01, ASG013-02, ASG018-01, ASG048-02</t>
  </si>
  <si>
    <t>EST0197</t>
  </si>
  <si>
    <t>EST0198</t>
  </si>
  <si>
    <t>ASG032-01, ASG040-01, ASG055-01</t>
  </si>
  <si>
    <t>EST0199</t>
  </si>
  <si>
    <t>ASG027-01, ASG058-02, ASG060-01</t>
  </si>
  <si>
    <t>EST0200</t>
  </si>
  <si>
    <t>ASG002-02, ASG056-01, ASG062-01</t>
  </si>
  <si>
    <t>EST0201</t>
  </si>
  <si>
    <t>EST0202</t>
  </si>
  <si>
    <t>EST0203</t>
  </si>
  <si>
    <t>ASG009-01, ASG013-02, ASG054-01</t>
  </si>
  <si>
    <t>EST0204</t>
  </si>
  <si>
    <t>ASG014-01, ASG036-01, ASG054-01</t>
  </si>
  <si>
    <t>EST0205</t>
  </si>
  <si>
    <t>ASG013-01, ASG030-01, ASG040-02</t>
  </si>
  <si>
    <t>EST0206</t>
  </si>
  <si>
    <t>ASG007-01, ASG031-02, ASG068-01</t>
  </si>
  <si>
    <t>EST0207</t>
  </si>
  <si>
    <t>EST0208</t>
  </si>
  <si>
    <t>ASG045-01, ASG050-01, ASG055-01</t>
  </si>
  <si>
    <t>EST0209</t>
  </si>
  <si>
    <t>ASG023-01, ASG035-01, ASG053-01, ASG059-01</t>
  </si>
  <si>
    <t>EST0210</t>
  </si>
  <si>
    <t>EST0211</t>
  </si>
  <si>
    <t>ASG002-01, ASG056-01, ASG062-01</t>
  </si>
  <si>
    <t>EST0212</t>
  </si>
  <si>
    <t>ASG032-01, ASG040-01, ASG070-01</t>
  </si>
  <si>
    <t>EST0213</t>
  </si>
  <si>
    <t>ASG005-01, ASG019-02, ASG055-01</t>
  </si>
  <si>
    <t>EST0214</t>
  </si>
  <si>
    <t>ASG021-01, ASG022-02, ASG045-02</t>
  </si>
  <si>
    <t>EST0215</t>
  </si>
  <si>
    <t>EST0216</t>
  </si>
  <si>
    <t>ASG002-01, ASG011-01, ASG043-01, ASG069-01</t>
  </si>
  <si>
    <t>EST0217</t>
  </si>
  <si>
    <t>EST0218</t>
  </si>
  <si>
    <t>ASG002-02, ASG011-02, ASG056-01, ASG062-01</t>
  </si>
  <si>
    <t>EST0219</t>
  </si>
  <si>
    <t>ASG003-01, ASG033-01, ASG049-01</t>
  </si>
  <si>
    <t>EST0220</t>
  </si>
  <si>
    <t>ASG008-01, ASG023-01, ASG032-01</t>
  </si>
  <si>
    <t>EST0221</t>
  </si>
  <si>
    <t>ASG002-01, ASG011-01, ASG043-01</t>
  </si>
  <si>
    <t>EST0222</t>
  </si>
  <si>
    <t>ASG017-01, ASG057-02, ASG067-01</t>
  </si>
  <si>
    <t>EST0223</t>
  </si>
  <si>
    <t>ASG029-01, ASG058-01, ASG063-01, ASG064-01</t>
  </si>
  <si>
    <t>EST0224</t>
  </si>
  <si>
    <t>ASG031-01, ASG032-01, ASG058-01</t>
  </si>
  <si>
    <t>EST0225</t>
  </si>
  <si>
    <t>EST0226</t>
  </si>
  <si>
    <t>EST0227</t>
  </si>
  <si>
    <t>EST0228</t>
  </si>
  <si>
    <t>ASG010-01, ASG014-01, ASG036-01, ASG054-01</t>
  </si>
  <si>
    <t>EST0229</t>
  </si>
  <si>
    <t>ASG012-01, ASG024-02, ASG055-02</t>
  </si>
  <si>
    <t>EST0230</t>
  </si>
  <si>
    <t>ASG039-02, ASG047-02, ASG057-02</t>
  </si>
  <si>
    <t>EST0231</t>
  </si>
  <si>
    <t>ASG018-01, ASG028-01, ASG059-01</t>
  </si>
  <si>
    <t>EST0232</t>
  </si>
  <si>
    <t>ASG036-01, ASG059-01, ASG065-01</t>
  </si>
  <si>
    <t>EST0233</t>
  </si>
  <si>
    <t>EST0234</t>
  </si>
  <si>
    <t>ASG012-02, ASG036-01, ASG058-01</t>
  </si>
  <si>
    <t>EST0235</t>
  </si>
  <si>
    <t>ASG039-01, ASG057-01, ASG067-01</t>
  </si>
  <si>
    <t>EST0236</t>
  </si>
  <si>
    <t>ASG016-01, ASG049-01, ASG054-01, ASG068-01</t>
  </si>
  <si>
    <t>EST0237</t>
  </si>
  <si>
    <t>ASG004-01, ASG025-02, ASG065-01</t>
  </si>
  <si>
    <t>EST0238</t>
  </si>
  <si>
    <t>ASG020-01, ASG031-02, ASG058-02</t>
  </si>
  <si>
    <t>EST0239</t>
  </si>
  <si>
    <t>ASG005-01, ASG019-02, ASG024-01, ASG055-01</t>
  </si>
  <si>
    <t>EST0240</t>
  </si>
  <si>
    <t>ASG007-01, ASG009-01, ASG013-01, ASG018-01</t>
  </si>
  <si>
    <t>EST0241</t>
  </si>
  <si>
    <t>ASG039-02, ASG042-01, ASG049-01</t>
  </si>
  <si>
    <t>EST0242</t>
  </si>
  <si>
    <t>ASG030-01, ASG032-01, ASG062-01, ASG070-01</t>
  </si>
  <si>
    <t>EST0243</t>
  </si>
  <si>
    <t>EST0244</t>
  </si>
  <si>
    <t>EST0245</t>
  </si>
  <si>
    <t>ASG006-02, ASG014-01, ASG021-01</t>
  </si>
  <si>
    <t>EST0246</t>
  </si>
  <si>
    <t>EST0247</t>
  </si>
  <si>
    <t>ASG023-01, ASG048-02, ASG065-01</t>
  </si>
  <si>
    <t>EST0248</t>
  </si>
  <si>
    <t>ASG009-01, ASG023-02, ASG053-01</t>
  </si>
  <si>
    <t>EST0249</t>
  </si>
  <si>
    <t>EST0250</t>
  </si>
  <si>
    <t>EST0251</t>
  </si>
  <si>
    <t>ASG004-01, ASG024-02, ASG055-02</t>
  </si>
  <si>
    <t>EST0252</t>
  </si>
  <si>
    <t>EST0253</t>
  </si>
  <si>
    <t>ASG017-01, ASG039-01, ASG047-01, ASG057-02</t>
  </si>
  <si>
    <t>EST0254</t>
  </si>
  <si>
    <t>ASG008-02, ASG028-02, ASG059-02, ASG061-01</t>
  </si>
  <si>
    <t>EST0255</t>
  </si>
  <si>
    <t>EST0256</t>
  </si>
  <si>
    <t>EST0257</t>
  </si>
  <si>
    <t>ASG023-01, ASG025-01, ASG035-01</t>
  </si>
  <si>
    <t>EST0258</t>
  </si>
  <si>
    <t>EST0259</t>
  </si>
  <si>
    <t>ASG003-01, ASG026-01, ASG033-01, ASG046-01</t>
  </si>
  <si>
    <t>EST0260</t>
  </si>
  <si>
    <t>EST0261</t>
  </si>
  <si>
    <t>EST0262</t>
  </si>
  <si>
    <t>EST0263</t>
  </si>
  <si>
    <t>ASG009-01, ASG018-01, ASG027-02, ASG048-02</t>
  </si>
  <si>
    <t>EST0264</t>
  </si>
  <si>
    <t>EST0265</t>
  </si>
  <si>
    <t>ASG016-01, ASG029-01, ASG031-01, ASG063-02</t>
  </si>
  <si>
    <t>EST0266</t>
  </si>
  <si>
    <t>ASG019-01, ASG055-02, ASG066-01</t>
  </si>
  <si>
    <t>EST0267</t>
  </si>
  <si>
    <t>EST0268</t>
  </si>
  <si>
    <t>EST0269</t>
  </si>
  <si>
    <t>ASG058-02, ASG063-02, ASG064-01</t>
  </si>
  <si>
    <t>EST0270</t>
  </si>
  <si>
    <t>EST0271</t>
  </si>
  <si>
    <t>EST0272</t>
  </si>
  <si>
    <t>ASG026-01, ASG027-02, ASG046-01</t>
  </si>
  <si>
    <t>EST0273</t>
  </si>
  <si>
    <t>ASG004-01, ASG050-01, ASG052-01</t>
  </si>
  <si>
    <t>EST0274</t>
  </si>
  <si>
    <t>EST0275</t>
  </si>
  <si>
    <t>ASG002-02, ASG020-01, ASG023-02, ASG056-01</t>
  </si>
  <si>
    <t>EST0276</t>
  </si>
  <si>
    <t>ASG002-02, ASG011-02, ASG043-01</t>
  </si>
  <si>
    <t>EST0277</t>
  </si>
  <si>
    <t>EST0278</t>
  </si>
  <si>
    <t>EST0279</t>
  </si>
  <si>
    <t>ASG007-02, ASG009-01, ASG049-01</t>
  </si>
  <si>
    <t>EST0280</t>
  </si>
  <si>
    <t>ASG030-01, ASG059-02, ASG061-01</t>
  </si>
  <si>
    <t>EST0281</t>
  </si>
  <si>
    <t>EST0282</t>
  </si>
  <si>
    <t>ASG029-01, ASG058-02, ASG063-02</t>
  </si>
  <si>
    <t>EST0283</t>
  </si>
  <si>
    <t>EST0284</t>
  </si>
  <si>
    <t>ASG031-02, ASG039-02, ASG044-01</t>
  </si>
  <si>
    <t>EST0285</t>
  </si>
  <si>
    <t>ASG013-02, ASG018-01, ASG065-01</t>
  </si>
  <si>
    <t>EST0286</t>
  </si>
  <si>
    <t>ASG028-01, ASG032-01, ASG061-01</t>
  </si>
  <si>
    <t>EST0287</t>
  </si>
  <si>
    <t>ASG010-01, ASG012-01, ASG045-02, ASG054-01</t>
  </si>
  <si>
    <t>EST0288</t>
  </si>
  <si>
    <t>EST0289</t>
  </si>
  <si>
    <t>EST0290</t>
  </si>
  <si>
    <t>EST0291</t>
  </si>
  <si>
    <t>EST0292</t>
  </si>
  <si>
    <t>ASG010-01, ASG014-01, ASG019-02, ASG054-01</t>
  </si>
  <si>
    <t>EST0293</t>
  </si>
  <si>
    <t>EST0294</t>
  </si>
  <si>
    <t>EST0295</t>
  </si>
  <si>
    <t>EST0296</t>
  </si>
  <si>
    <t>ASG023-01, ASG035-01, ASG053-01, ASG065-01</t>
  </si>
  <si>
    <t>EST0297</t>
  </si>
  <si>
    <t>EST0298</t>
  </si>
  <si>
    <t>ASG042-01, ASG051-02, ASG069-01</t>
  </si>
  <si>
    <t>EST0299</t>
  </si>
  <si>
    <t>ASG008-01, ASG030-01, ASG040-02</t>
  </si>
  <si>
    <t>EST0300</t>
  </si>
  <si>
    <t>EST0301</t>
  </si>
  <si>
    <t>EST0302</t>
  </si>
  <si>
    <t>EST0303</t>
  </si>
  <si>
    <t>EST0304</t>
  </si>
  <si>
    <t>EST0305</t>
  </si>
  <si>
    <t>ASG020-01, ASG024-01, ASG066-01</t>
  </si>
  <si>
    <t>EST0306</t>
  </si>
  <si>
    <t>EST0307</t>
  </si>
  <si>
    <t>EST0308</t>
  </si>
  <si>
    <t>EST0309</t>
  </si>
  <si>
    <t>ASG011-02, ASG043-01, ASG062-01</t>
  </si>
  <si>
    <t>EST0310</t>
  </si>
  <si>
    <t>ASG034-01, ASG042-01, ASG051-02, ASG055-01</t>
  </si>
  <si>
    <t>EST0311</t>
  </si>
  <si>
    <t>ASG022-02, ASG045-02, ASG070-01</t>
  </si>
  <si>
    <t>EST0312</t>
  </si>
  <si>
    <t>ASG026-01, ASG029-01, ASG037-01, ASG046-01</t>
  </si>
  <si>
    <t>EST0313</t>
  </si>
  <si>
    <t>ASG012-01, ASG014-01, ASG043-02</t>
  </si>
  <si>
    <t>EST0314</t>
  </si>
  <si>
    <t>EST0315</t>
  </si>
  <si>
    <t>EST0316</t>
  </si>
  <si>
    <t>ASG011-02, ASG056-01, ASG062-01, ASG067-01</t>
  </si>
  <si>
    <t>EST0317</t>
  </si>
  <si>
    <t>ASG010-01, ASG030-01, ASG032-01</t>
  </si>
  <si>
    <t>EST0318</t>
  </si>
  <si>
    <t>ASG032-01, ASG040-01, ASG043-01</t>
  </si>
  <si>
    <t>EST0319</t>
  </si>
  <si>
    <t>EST0320</t>
  </si>
  <si>
    <t>ASG009-01, ASG018-01, ASG042-01</t>
  </si>
  <si>
    <t>EST0321</t>
  </si>
  <si>
    <t>ASG023-02, ASG025-02, ASG029-01, ASG067-01</t>
  </si>
  <si>
    <t>EST0322</t>
  </si>
  <si>
    <t>EST0323</t>
  </si>
  <si>
    <t>EST0324</t>
  </si>
  <si>
    <t>EST0325</t>
  </si>
  <si>
    <t>ASG007-02, ASG024-01, ASG066-01</t>
  </si>
  <si>
    <t>EST0326</t>
  </si>
  <si>
    <t>ASG010-01, ASG014-01, ASG036-01</t>
  </si>
  <si>
    <t>EST0327</t>
  </si>
  <si>
    <t>EST0328</t>
  </si>
  <si>
    <t>ASG007-01, ASG016-01, ASG044-01, ASG049-01</t>
  </si>
  <si>
    <t>EST0329</t>
  </si>
  <si>
    <t>EST0330</t>
  </si>
  <si>
    <t>ASG040-02, ASG057-01, ASG067-01</t>
  </si>
  <si>
    <t>EST0331</t>
  </si>
  <si>
    <t>ASG019-02, ASG055-01, ASG066-01</t>
  </si>
  <si>
    <t>EST0332</t>
  </si>
  <si>
    <t>EST0333</t>
  </si>
  <si>
    <t>ASG019-01, ASG025-02, ASG065-01</t>
  </si>
  <si>
    <t>EST0334</t>
  </si>
  <si>
    <t>ASG027-01, ASG032-01, ASG070-01</t>
  </si>
  <si>
    <t>EST0335</t>
  </si>
  <si>
    <t>ASG006-02, ASG007-01, ASG045-02</t>
  </si>
  <si>
    <t>EST0336</t>
  </si>
  <si>
    <t>EST0337</t>
  </si>
  <si>
    <t>EST0338</t>
  </si>
  <si>
    <t>ASG010-01, ASG036-01, ASG054-01</t>
  </si>
  <si>
    <t>EST0339</t>
  </si>
  <si>
    <t>EST0340</t>
  </si>
  <si>
    <t>ASG008-02, ASG033-01, ASG059-02, ASG061-01</t>
  </si>
  <si>
    <t>EST0341</t>
  </si>
  <si>
    <t>EST0342</t>
  </si>
  <si>
    <t>ASG006-02, ASG021-01, ASG022-01</t>
  </si>
  <si>
    <t>EST0343</t>
  </si>
  <si>
    <t>EST0344</t>
  </si>
  <si>
    <t>ASG009-01, ASG013-01, ASG048-01</t>
  </si>
  <si>
    <t>EST0345</t>
  </si>
  <si>
    <t>EST0346</t>
  </si>
  <si>
    <t>ASG052-01, ASG062-01, ASG068-01</t>
  </si>
  <si>
    <t>EST0347</t>
  </si>
  <si>
    <t>ASG001-01, ASG014-01, ASG052-01</t>
  </si>
  <si>
    <t>EST0348</t>
  </si>
  <si>
    <t>EST0349</t>
  </si>
  <si>
    <t>EST0350</t>
  </si>
  <si>
    <t>ASG029-01, ASG058-02, ASG060-01</t>
  </si>
  <si>
    <t>EST0351</t>
  </si>
  <si>
    <t>ASG007-01, ASG016-01, ASG068-01</t>
  </si>
  <si>
    <t>EST0352</t>
  </si>
  <si>
    <t>ASG008-01, ASG028-01, ASG040-01</t>
  </si>
  <si>
    <t>EST0353</t>
  </si>
  <si>
    <t>ASG010-01, ASG015-01, ASG060-01</t>
  </si>
  <si>
    <t>EST0354</t>
  </si>
  <si>
    <t>ASG010-01, ASG012-01, ASG014-01</t>
  </si>
  <si>
    <t>EST0355</t>
  </si>
  <si>
    <t>EST0356</t>
  </si>
  <si>
    <t>ASG008-02, ASG028-02, ASG059-01</t>
  </si>
  <si>
    <t>EST0357</t>
  </si>
  <si>
    <t>EST0358</t>
  </si>
  <si>
    <t>EST0359</t>
  </si>
  <si>
    <t>ASG016-01, ASG020-01, ASG044-01</t>
  </si>
  <si>
    <t>EST0360</t>
  </si>
  <si>
    <t>EST0361</t>
  </si>
  <si>
    <t>EST0362</t>
  </si>
  <si>
    <t>ASG008-02, ASG028-02, ASG059-01, ASG061-01</t>
  </si>
  <si>
    <t>EST0363</t>
  </si>
  <si>
    <t>ASG018-01, ASG031-01, ASG058-01</t>
  </si>
  <si>
    <t>EST0364</t>
  </si>
  <si>
    <t>ASG030-01, ASG032-01, ASG070-01</t>
  </si>
  <si>
    <t>EST0365</t>
  </si>
  <si>
    <t>EST0366</t>
  </si>
  <si>
    <t>EST0367</t>
  </si>
  <si>
    <t>ASG013-02, ASG018-01, ASG037-01</t>
  </si>
  <si>
    <t>EST0368</t>
  </si>
  <si>
    <t>EST0369</t>
  </si>
  <si>
    <t>EST0370</t>
  </si>
  <si>
    <t>ASG023-01, ASG025-01, ASG035-01, ASG053-01</t>
  </si>
  <si>
    <t>EST0371</t>
  </si>
  <si>
    <t>ASG002-02, ASG011-02, ASG043-01, ASG062-01</t>
  </si>
  <si>
    <t>EST0372</t>
  </si>
  <si>
    <t>EST0373</t>
  </si>
  <si>
    <t>ASG032-01, ASG067-01, ASG070-01</t>
  </si>
  <si>
    <t>EST0374</t>
  </si>
  <si>
    <t>ASG010-01, ASG040-02, ASG044-01, ASG049-01</t>
  </si>
  <si>
    <t>EST0375</t>
  </si>
  <si>
    <t>ASG025-02, ASG044-01, ASG058-02, ASG063-02</t>
  </si>
  <si>
    <t>EST0376</t>
  </si>
  <si>
    <t>EST0377</t>
  </si>
  <si>
    <t>EST0378</t>
  </si>
  <si>
    <t>EST0379</t>
  </si>
  <si>
    <t>EST0380</t>
  </si>
  <si>
    <t>ASG024-02, ASG055-02, ASG069-01</t>
  </si>
  <si>
    <t>EST0381</t>
  </si>
  <si>
    <t>EST0382</t>
  </si>
  <si>
    <t>ASG021-01, ASG022-01, ASG055-01</t>
  </si>
  <si>
    <t>EST0383</t>
  </si>
  <si>
    <t>EST0384</t>
  </si>
  <si>
    <t>EST0385</t>
  </si>
  <si>
    <t>EST0386</t>
  </si>
  <si>
    <t>ASG015-01, ASG038-02, ASG058-01</t>
  </si>
  <si>
    <t>EST0387</t>
  </si>
  <si>
    <t>EST0388</t>
  </si>
  <si>
    <t>EST0389</t>
  </si>
  <si>
    <t>ASG023-02, ASG025-02, ASG053-01</t>
  </si>
  <si>
    <t>EST0390</t>
  </si>
  <si>
    <t>ASG026-01, ASG046-01, ASG055-02</t>
  </si>
  <si>
    <t>EST0391</t>
  </si>
  <si>
    <t>EST0392</t>
  </si>
  <si>
    <t>ASG012-01, ASG040-02, ASG054-01</t>
  </si>
  <si>
    <t>EST0393</t>
  </si>
  <si>
    <t>EST0394</t>
  </si>
  <si>
    <t>EST0395</t>
  </si>
  <si>
    <t>EST0396</t>
  </si>
  <si>
    <t>EST0397</t>
  </si>
  <si>
    <t>ASG011-01, ASG056-01, ASG062-01</t>
  </si>
  <si>
    <t>EST0398</t>
  </si>
  <si>
    <t>ASG032-01, ASG041-01, ASG070-01</t>
  </si>
  <si>
    <t>EST0399</t>
  </si>
  <si>
    <t>EST0400</t>
  </si>
  <si>
    <t>EST0401</t>
  </si>
  <si>
    <t>EST0402</t>
  </si>
  <si>
    <t>EST0403</t>
  </si>
  <si>
    <t>EST0404</t>
  </si>
  <si>
    <t>EST0405</t>
  </si>
  <si>
    <t>ASG020-02, ASG042-01, ASG051-02, ASG069-01</t>
  </si>
  <si>
    <t>EST0406</t>
  </si>
  <si>
    <t>EST0407</t>
  </si>
  <si>
    <t>EST0408</t>
  </si>
  <si>
    <t>ASG002-02, ASG011-02, ASG033-01</t>
  </si>
  <si>
    <t>EST0409</t>
  </si>
  <si>
    <t>EST0410</t>
  </si>
  <si>
    <t>EST0411</t>
  </si>
  <si>
    <t>EST0412</t>
  </si>
  <si>
    <t>EST0413</t>
  </si>
  <si>
    <t>EST0414</t>
  </si>
  <si>
    <t>ASG011-02, ASG043-02, ASG062-01</t>
  </si>
  <si>
    <t>EST0415</t>
  </si>
  <si>
    <t>ASG049-01, ASG051-01, ASG064-01</t>
  </si>
  <si>
    <t>EST0416</t>
  </si>
  <si>
    <t>EST0417</t>
  </si>
  <si>
    <t>EST0418</t>
  </si>
  <si>
    <t>ASG051-01, ASG058-02, ASG064-02</t>
  </si>
  <si>
    <t>EST0419</t>
  </si>
  <si>
    <t>EST0420</t>
  </si>
  <si>
    <t>ASG003-01, ASG026-01, ASG037-01</t>
  </si>
  <si>
    <t>EST0421</t>
  </si>
  <si>
    <t>ASG004-01, ASG052-01, ASG061-01</t>
  </si>
  <si>
    <t>EST0422</t>
  </si>
  <si>
    <t>ASG017-01, ASG047-02, ASG064-01</t>
  </si>
  <si>
    <t>EST0423</t>
  </si>
  <si>
    <t>ASG023-01, ASG025-01, ASG053-01, ASG060-01</t>
  </si>
  <si>
    <t>EST0424</t>
  </si>
  <si>
    <t>EST0425</t>
  </si>
  <si>
    <t>EST0426</t>
  </si>
  <si>
    <t>EST0427</t>
  </si>
  <si>
    <t>ASG017-01, ASG047-02, ASG057-01</t>
  </si>
  <si>
    <t>EST0428</t>
  </si>
  <si>
    <t>ASG003-01, ASG026-01, ASG068-01</t>
  </si>
  <si>
    <t>EST0429</t>
  </si>
  <si>
    <t>ASG009-01, ASG023-02, ASG054-01</t>
  </si>
  <si>
    <t>EST0430</t>
  </si>
  <si>
    <t>ASG017-01, ASG047-01, ASG057-02</t>
  </si>
  <si>
    <t>EST0431</t>
  </si>
  <si>
    <t>EST0432</t>
  </si>
  <si>
    <t>EST0433</t>
  </si>
  <si>
    <t>ASG015-01, ASG027-02, ASG029-01</t>
  </si>
  <si>
    <t>EST0434</t>
  </si>
  <si>
    <t>ASG015-01, ASG027-01, ASG068-01</t>
  </si>
  <si>
    <t>EST0435</t>
  </si>
  <si>
    <t>EST0436</t>
  </si>
  <si>
    <t>ASG058-01, ASG063-01, ASG064-01</t>
  </si>
  <si>
    <t>EST0437</t>
  </si>
  <si>
    <t>EST0438</t>
  </si>
  <si>
    <t>ASG041-01, ASG043-01, ASG062-01</t>
  </si>
  <si>
    <t>EST0439</t>
  </si>
  <si>
    <t>ASG001-02, ASG041-01, ASG050-01</t>
  </si>
  <si>
    <t>EST0440</t>
  </si>
  <si>
    <t>ASG033-01, ASG034-01, ASG042-01</t>
  </si>
  <si>
    <t>EST0441</t>
  </si>
  <si>
    <t>ASG025-02, ASG053-01, ASG065-01</t>
  </si>
  <si>
    <t>EST0442</t>
  </si>
  <si>
    <t>ASG009-01, ASG029-01, ASG064-02</t>
  </si>
  <si>
    <t>EST0443</t>
  </si>
  <si>
    <t>EST0444</t>
  </si>
  <si>
    <t>ASG001-01, ASG050-01, ASG052-01, ASG055-01</t>
  </si>
  <si>
    <t>EST0445</t>
  </si>
  <si>
    <t>EST0446</t>
  </si>
  <si>
    <t>ASG017-01, ASG039-01, ASG047-01</t>
  </si>
  <si>
    <t>EST0447</t>
  </si>
  <si>
    <t>ASG001-01, ASG021-01, ASG026-01, ASG046-01</t>
  </si>
  <si>
    <t>EST0448</t>
  </si>
  <si>
    <t>ASG016-01, ASG049-01, ASG068-01</t>
  </si>
  <si>
    <t>EST0449</t>
  </si>
  <si>
    <t>EST0450</t>
  </si>
  <si>
    <t>ASG029-01, ASG058-01, ASG063-01</t>
  </si>
  <si>
    <t>EST0451</t>
  </si>
  <si>
    <t>ASG014-01, ASG030-01, ASG040-01</t>
  </si>
  <si>
    <t>EST0452</t>
  </si>
  <si>
    <t>ASG032-01, ASG040-01, ASG041-01, ASG070-01</t>
  </si>
  <si>
    <t>EST0453</t>
  </si>
  <si>
    <t>EST0454</t>
  </si>
  <si>
    <t>ASG042-01, ASG044-01, ASG068-01</t>
  </si>
  <si>
    <t>EST0455</t>
  </si>
  <si>
    <t>ASG002-01, ASG011-01, ASG056-01</t>
  </si>
  <si>
    <t>EST0456</t>
  </si>
  <si>
    <t>EST0457</t>
  </si>
  <si>
    <t>ASG005-01, ASG055-01, ASG066-01</t>
  </si>
  <si>
    <t>EST0458</t>
  </si>
  <si>
    <t>ASG014-01, ASG030-01, ASG036-01</t>
  </si>
  <si>
    <t>EST0459</t>
  </si>
  <si>
    <t>EST0460</t>
  </si>
  <si>
    <t>EST0461</t>
  </si>
  <si>
    <t>ASG033-02, ASG037-01, ASG046-01</t>
  </si>
  <si>
    <t>EST0462</t>
  </si>
  <si>
    <t>ASG002-01, ASG011-01, ASG062-01</t>
  </si>
  <si>
    <t>EST0463</t>
  </si>
  <si>
    <t>EST0464</t>
  </si>
  <si>
    <t>ASG015-01, ASG025-02, ASG060-01</t>
  </si>
  <si>
    <t>EST0465</t>
  </si>
  <si>
    <t>EST0466</t>
  </si>
  <si>
    <t>EST0467</t>
  </si>
  <si>
    <t>ASG029-01, ASG063-02, ASG064-02</t>
  </si>
  <si>
    <t>EST0468</t>
  </si>
  <si>
    <t>ASG058-02, ASG062-01, ASG064-01</t>
  </si>
  <si>
    <t>EST0469</t>
  </si>
  <si>
    <t>ASG001-01, ASG032-01, ASG050-01</t>
  </si>
  <si>
    <t>EST0470</t>
  </si>
  <si>
    <t>EST0471</t>
  </si>
  <si>
    <t>EST0472</t>
  </si>
  <si>
    <t>ASG020-02, ASG034-02, ASG062-01</t>
  </si>
  <si>
    <t>EST0473</t>
  </si>
  <si>
    <t>EST0474</t>
  </si>
  <si>
    <t>ASG002-02, ASG043-02, ASG056-01, ASG062-01</t>
  </si>
  <si>
    <t>EST0475</t>
  </si>
  <si>
    <t>ASG026-01, ASG037-01, ASG055-02</t>
  </si>
  <si>
    <t>EST0476</t>
  </si>
  <si>
    <t>EST0477</t>
  </si>
  <si>
    <t>ASG003-01, ASG012-02, ASG014-01, ASG036-01</t>
  </si>
  <si>
    <t>EST0478</t>
  </si>
  <si>
    <t>ASG024-02, ASG030-01, ASG055-02</t>
  </si>
  <si>
    <t>EST0479</t>
  </si>
  <si>
    <t>ASG009-01, ASG015-01, ASG027-02</t>
  </si>
  <si>
    <t>EST0480</t>
  </si>
  <si>
    <t>ASG014-01, ASG018-01, ASG036-01, ASG054-01</t>
  </si>
  <si>
    <t>EST0481</t>
  </si>
  <si>
    <t>EST0482</t>
  </si>
  <si>
    <t>EST0483</t>
  </si>
  <si>
    <t>ASG008-01, ASG022-01, ASG028-01</t>
  </si>
  <si>
    <t>EST0484</t>
  </si>
  <si>
    <t>ASG034-02, ASG042-01, ASG069-01</t>
  </si>
  <si>
    <t>EST0485</t>
  </si>
  <si>
    <t>EST0486</t>
  </si>
  <si>
    <t>ASG029-01, ASG032-01, ASG064-02</t>
  </si>
  <si>
    <t>EST0487</t>
  </si>
  <si>
    <t>ASG040-01, ASG041-01, ASG070-01</t>
  </si>
  <si>
    <t>EST0488</t>
  </si>
  <si>
    <t>EST0489</t>
  </si>
  <si>
    <t>ASG001-01, ASG051-02, ASG052-01</t>
  </si>
  <si>
    <t>EST0490</t>
  </si>
  <si>
    <t>EST0491</t>
  </si>
  <si>
    <t>EST0492</t>
  </si>
  <si>
    <t>EST0493</t>
  </si>
  <si>
    <t>ASG004-01, ASG020-01, ASG039-01, ASG052-01</t>
  </si>
  <si>
    <t>EST0494</t>
  </si>
  <si>
    <t>ASG021-01, ASG022-01, ASG051-01</t>
  </si>
  <si>
    <t>EST0495</t>
  </si>
  <si>
    <t>EST0496</t>
  </si>
  <si>
    <t>EST0497</t>
  </si>
  <si>
    <t>ASG003-01, ASG026-01, ASG033-01</t>
  </si>
  <si>
    <t>EST0498</t>
  </si>
  <si>
    <t>EST0499</t>
  </si>
  <si>
    <t>EST0500</t>
  </si>
  <si>
    <t>ASG033-01, ASG044-01, ASG060-01</t>
  </si>
  <si>
    <t>EST0501</t>
  </si>
  <si>
    <t>EST0502</t>
  </si>
  <si>
    <t>EST0503</t>
  </si>
  <si>
    <t>EST0504</t>
  </si>
  <si>
    <t>EST0505</t>
  </si>
  <si>
    <t>ASG002-01, ASG011-01, ASG043-01, ASG062-01</t>
  </si>
  <si>
    <t>EST0506</t>
  </si>
  <si>
    <t>EST0507</t>
  </si>
  <si>
    <t>ASG029-01, ASG031-01, ASG063-02, ASG064-02</t>
  </si>
  <si>
    <t>EST0508</t>
  </si>
  <si>
    <t>ASG009-01, ASG048-02, ASG056-01</t>
  </si>
  <si>
    <t>EST0509</t>
  </si>
  <si>
    <t>ASG015-01, ASG027-02, ASG060-01</t>
  </si>
  <si>
    <t>EST0510</t>
  </si>
  <si>
    <t>ASG007-02, ASG019-01, ASG066-01</t>
  </si>
  <si>
    <t>EST0511</t>
  </si>
  <si>
    <t>ASG001-01, ASG005-01, ASG039-02</t>
  </si>
  <si>
    <t>EST0512</t>
  </si>
  <si>
    <t>EST0513</t>
  </si>
  <si>
    <t>ASG008-01, ASG051-01, ASG059-01, ASG061-01</t>
  </si>
  <si>
    <t>EST0514</t>
  </si>
  <si>
    <t>ASG007-01, ASG016-01, ASG049-01, ASG068-01</t>
  </si>
  <si>
    <t>EST0515</t>
  </si>
  <si>
    <t>EST0516</t>
  </si>
  <si>
    <t>EST0517</t>
  </si>
  <si>
    <t>EST0518</t>
  </si>
  <si>
    <t>ASG003-01, ASG026-01, ASG037-01, ASG046-01</t>
  </si>
  <si>
    <t>EST0519</t>
  </si>
  <si>
    <t>ASG030-01, ASG032-01, ASG041-02, ASG070-01</t>
  </si>
  <si>
    <t>EST0520</t>
  </si>
  <si>
    <t>ASG009-01, ASG013-02, ASG070-01</t>
  </si>
  <si>
    <t>EST0521</t>
  </si>
  <si>
    <t>EST0522</t>
  </si>
  <si>
    <t>ASG008-01, ASG028-01, ASG061-01</t>
  </si>
  <si>
    <t>EST0523</t>
  </si>
  <si>
    <t>EST0524</t>
  </si>
  <si>
    <t>EST0525</t>
  </si>
  <si>
    <t>EST0526</t>
  </si>
  <si>
    <t>EST0527</t>
  </si>
  <si>
    <t>ASG029-01, ASG031-02, ASG063-01</t>
  </si>
  <si>
    <t>EST0528</t>
  </si>
  <si>
    <t>EST0529</t>
  </si>
  <si>
    <t>EST0530</t>
  </si>
  <si>
    <t>ASG010-01, ASG020-02, ASG034-02, ASG069-01</t>
  </si>
  <si>
    <t>EST0531</t>
  </si>
  <si>
    <t>EST0532</t>
  </si>
  <si>
    <t>ASG009-01, ASG014-01, ASG048-02</t>
  </si>
  <si>
    <t>EST0533</t>
  </si>
  <si>
    <t>EST0534</t>
  </si>
  <si>
    <t>ASG015-01, ASG027-02, ASG067-01</t>
  </si>
  <si>
    <t>EST0535</t>
  </si>
  <si>
    <t>ASG026-01, ASG033-01, ASG040-01</t>
  </si>
  <si>
    <t>EST0536</t>
  </si>
  <si>
    <t>ASG001-01, ASG050-01, ASG062-01</t>
  </si>
  <si>
    <t>EST0537</t>
  </si>
  <si>
    <t>EST0538</t>
  </si>
  <si>
    <t>EST0539</t>
  </si>
  <si>
    <t>EST0540</t>
  </si>
  <si>
    <t>EST0541</t>
  </si>
  <si>
    <t>ASG020-01, ASG034-01, ASG051-01</t>
  </si>
  <si>
    <t>EST0542</t>
  </si>
  <si>
    <t>EST0543</t>
  </si>
  <si>
    <t>ASG008-02, ASG022-01, ASG059-02, ASG061-01</t>
  </si>
  <si>
    <t>EST0544</t>
  </si>
  <si>
    <t>EST0545</t>
  </si>
  <si>
    <t>ASG018-01, ASG036-01, ASG054-01</t>
  </si>
  <si>
    <t>EST0546</t>
  </si>
  <si>
    <t>EST0547</t>
  </si>
  <si>
    <t>EST0548</t>
  </si>
  <si>
    <t>ASG023-02, ASG053-01, ASG065-01</t>
  </si>
  <si>
    <t>EST0549</t>
  </si>
  <si>
    <t>EST0550</t>
  </si>
  <si>
    <t>EST0551</t>
  </si>
  <si>
    <t>EST0552</t>
  </si>
  <si>
    <t>ASG007-02, ASG044-01, ASG047-01</t>
  </si>
  <si>
    <t>EST0553</t>
  </si>
  <si>
    <t>EST0554</t>
  </si>
  <si>
    <t>EST0555</t>
  </si>
  <si>
    <t>EST0556</t>
  </si>
  <si>
    <t>ASG029-01, ASG031-01, ASG043-01</t>
  </si>
  <si>
    <t>EST0557</t>
  </si>
  <si>
    <t>ASG026-01, ASG033-01, ASG042-01</t>
  </si>
  <si>
    <t>EST0558</t>
  </si>
  <si>
    <t>EST0559</t>
  </si>
  <si>
    <t>EST0560</t>
  </si>
  <si>
    <t>ASG004-01, ASG050-01, ASG052-01, ASG053-01</t>
  </si>
  <si>
    <t>EST0561</t>
  </si>
  <si>
    <t>EST0562</t>
  </si>
  <si>
    <t>ASG002-01, ASG011-01, ASG043-02, ASG056-01</t>
  </si>
  <si>
    <t>EST0563</t>
  </si>
  <si>
    <t>EST0564</t>
  </si>
  <si>
    <t>EST0565</t>
  </si>
  <si>
    <t>ASG029-01, ASG031-02, ASG058-02</t>
  </si>
  <si>
    <t>EST0566</t>
  </si>
  <si>
    <t>EST0567</t>
  </si>
  <si>
    <t>EST0568</t>
  </si>
  <si>
    <t>ASG034-01, ASG068-01, ASG070-01</t>
  </si>
  <si>
    <t>EST0569</t>
  </si>
  <si>
    <t>EST0570</t>
  </si>
  <si>
    <t>ASG019-02, ASG024-01, ASG055-01, ASG066-01</t>
  </si>
  <si>
    <t>EST0571</t>
  </si>
  <si>
    <t>ASG002-02, ASG011-02, ASG062-01</t>
  </si>
  <si>
    <t>EST0572</t>
  </si>
  <si>
    <t>EST0573</t>
  </si>
  <si>
    <t>ASG006-02, ASG022-02, ASG054-01</t>
  </si>
  <si>
    <t>EST0574</t>
  </si>
  <si>
    <t>EST0575</t>
  </si>
  <si>
    <t>EST0576</t>
  </si>
  <si>
    <t>EST0577</t>
  </si>
  <si>
    <t>ASG006-01, ASG021-01, ASG022-02</t>
  </si>
  <si>
    <t>EST0578</t>
  </si>
  <si>
    <t>EST0579</t>
  </si>
  <si>
    <t>EST0580</t>
  </si>
  <si>
    <t>EST0581</t>
  </si>
  <si>
    <t>EST0582</t>
  </si>
  <si>
    <t>EST0583</t>
  </si>
  <si>
    <t>EST0584</t>
  </si>
  <si>
    <t>ASG001-02, ASG007-02, ASG070-01</t>
  </si>
  <si>
    <t>EST0585</t>
  </si>
  <si>
    <t>ASG014-01, ASG044-01, ASG068-01</t>
  </si>
  <si>
    <t>EST0586</t>
  </si>
  <si>
    <t>ASG002-01, ASG030-01, ASG046-01</t>
  </si>
  <si>
    <t>EST0587</t>
  </si>
  <si>
    <t>ASG030-01, ASG032-01, ASG040-02, ASG041-01</t>
  </si>
  <si>
    <t>EST0588</t>
  </si>
  <si>
    <t>EST0589</t>
  </si>
  <si>
    <t>ASG016-01, ASG059-01, ASG063-02</t>
  </si>
  <si>
    <t>EST0590</t>
  </si>
  <si>
    <t>EST0591</t>
  </si>
  <si>
    <t>EST0592</t>
  </si>
  <si>
    <t>EST0593</t>
  </si>
  <si>
    <t>ASG012-01, ASG014-01, ASG070-01</t>
  </si>
  <si>
    <t>EST0594</t>
  </si>
  <si>
    <t>EST0595</t>
  </si>
  <si>
    <t>ASG005-01, ASG007-02, ASG024-02, ASG055-02</t>
  </si>
  <si>
    <t>EST0596</t>
  </si>
  <si>
    <t>ASG010-01, ASG012-02, ASG014-01, ASG036-01</t>
  </si>
  <si>
    <t>EST0597</t>
  </si>
  <si>
    <t>ASG002-01, ASG011-01, ASG027-01, ASG043-01</t>
  </si>
  <si>
    <t>EST0598</t>
  </si>
  <si>
    <t>EST0599</t>
  </si>
  <si>
    <t>ASG016-01, ASG044-01, ASG049-01, ASG050-01</t>
  </si>
  <si>
    <t>EST0600</t>
  </si>
  <si>
    <t>EST0601</t>
  </si>
  <si>
    <t>EST0602</t>
  </si>
  <si>
    <t>ASG025-02, ASG027-01, ASG065-01</t>
  </si>
  <si>
    <t>EST0603</t>
  </si>
  <si>
    <t>EST0604</t>
  </si>
  <si>
    <t>EST0605</t>
  </si>
  <si>
    <t>EST0606</t>
  </si>
  <si>
    <t>ASG003-01, ASG023-02, ASG033-01, ASG046-01</t>
  </si>
  <si>
    <t>EST0607</t>
  </si>
  <si>
    <t>EST0608</t>
  </si>
  <si>
    <t>EST0609</t>
  </si>
  <si>
    <t>ASG015-01, ASG034-01, ASG038-01, ASG060-01</t>
  </si>
  <si>
    <t>EST0610</t>
  </si>
  <si>
    <t>ASG015-01, ASG026-01, ASG038-01</t>
  </si>
  <si>
    <t>EST0611</t>
  </si>
  <si>
    <t>ASG006-02, ASG021-01, ASG045-02</t>
  </si>
  <si>
    <t>EST0612</t>
  </si>
  <si>
    <t>ASG002-02, ASG011-02, ASG066-01</t>
  </si>
  <si>
    <t>EST0613</t>
  </si>
  <si>
    <t>ASG004-01, ASG005-01, ASG066-01</t>
  </si>
  <si>
    <t>EST0614</t>
  </si>
  <si>
    <t>EST0615</t>
  </si>
  <si>
    <t>ASG019-02, ASG033-02, ASG067-01</t>
  </si>
  <si>
    <t>EST0616</t>
  </si>
  <si>
    <t>ASG003-01, ASG013-02, ASG018-01</t>
  </si>
  <si>
    <t>EST0617</t>
  </si>
  <si>
    <t>ASG018-01, ASG061-01, ASG062-01</t>
  </si>
  <si>
    <t>EST0618</t>
  </si>
  <si>
    <t>EST0619</t>
  </si>
  <si>
    <t>EST0620</t>
  </si>
  <si>
    <t>EST0621</t>
  </si>
  <si>
    <t>EST0622</t>
  </si>
  <si>
    <t>EST0623</t>
  </si>
  <si>
    <t>EST0624</t>
  </si>
  <si>
    <t>EST0625</t>
  </si>
  <si>
    <t>ASG006-01, ASG016-01, ASG045-01</t>
  </si>
  <si>
    <t>EST0626</t>
  </si>
  <si>
    <t>EST0627</t>
  </si>
  <si>
    <t>EST0628</t>
  </si>
  <si>
    <t>EST0629</t>
  </si>
  <si>
    <t>EST0630</t>
  </si>
  <si>
    <t>EST0631</t>
  </si>
  <si>
    <t>ASG004-01, ASG052-01, ASG056-01</t>
  </si>
  <si>
    <t>EST0632</t>
  </si>
  <si>
    <t>EST0633</t>
  </si>
  <si>
    <t>ASG007-02, ASG011-02, ASG061-01</t>
  </si>
  <si>
    <t>EST0634</t>
  </si>
  <si>
    <t>EST0635</t>
  </si>
  <si>
    <t>ASG012-02, ASG014-01, ASG045-01</t>
  </si>
  <si>
    <t>EST0636</t>
  </si>
  <si>
    <t>ASG010-01, ASG012-02, ASG036-01</t>
  </si>
  <si>
    <t>EST0637</t>
  </si>
  <si>
    <t>ASG022-02, ASG030-01, ASG032-01</t>
  </si>
  <si>
    <t>EST0638</t>
  </si>
  <si>
    <t>EST0639</t>
  </si>
  <si>
    <t>EST0640</t>
  </si>
  <si>
    <t>EST0641</t>
  </si>
  <si>
    <t>ASG015-01, ASG033-02, ASG038-01</t>
  </si>
  <si>
    <t>EST0642</t>
  </si>
  <si>
    <t>EST0643</t>
  </si>
  <si>
    <t>ASG010-01, ASG023-02, ASG053-01, ASG065-01</t>
  </si>
  <si>
    <t>EST0644</t>
  </si>
  <si>
    <t>EST0645</t>
  </si>
  <si>
    <t>EST0646</t>
  </si>
  <si>
    <t>EST0647</t>
  </si>
  <si>
    <t>EST0648</t>
  </si>
  <si>
    <t>ASG004-01, ASG011-02, ASG062-01</t>
  </si>
  <si>
    <t>EST0649</t>
  </si>
  <si>
    <t>EST0650</t>
  </si>
  <si>
    <t>EST0651</t>
  </si>
  <si>
    <t>ASG020-02, ASG034-02, ASG042-01, ASG051-02</t>
  </si>
  <si>
    <t>EST0652</t>
  </si>
  <si>
    <t>EST0653</t>
  </si>
  <si>
    <t>EST0654</t>
  </si>
  <si>
    <t>EST0655</t>
  </si>
  <si>
    <t>EST0656</t>
  </si>
  <si>
    <t>EST0657</t>
  </si>
  <si>
    <t>EST0658</t>
  </si>
  <si>
    <t>ASG030-01, ASG031-01, ASG070-01</t>
  </si>
  <si>
    <t>EST0659</t>
  </si>
  <si>
    <t>EST0660</t>
  </si>
  <si>
    <t>EST0661</t>
  </si>
  <si>
    <t>ASG017-01, ASG039-02, ASG047-02, ASG067-01</t>
  </si>
  <si>
    <t>EST0662</t>
  </si>
  <si>
    <t>ASG012-02, ASG036-01, ASG057-01</t>
  </si>
  <si>
    <t>EST0663</t>
  </si>
  <si>
    <t>ASG001-01, ASG011-02, ASG062-01</t>
  </si>
  <si>
    <t>EST0664</t>
  </si>
  <si>
    <t>EST0665</t>
  </si>
  <si>
    <t>EST0666</t>
  </si>
  <si>
    <t>EST0667</t>
  </si>
  <si>
    <t>ASG017-01, ASG039-02, ASG047-02</t>
  </si>
  <si>
    <t>EST0668</t>
  </si>
  <si>
    <t>ASG047-01, ASG050-01, ASG067-01</t>
  </si>
  <si>
    <t>EST0669</t>
  </si>
  <si>
    <t>ASG002-02, ASG011-02, ASG043-02, ASG056-01</t>
  </si>
  <si>
    <t>EST0670</t>
  </si>
  <si>
    <t>ASG026-01, ASG033-01, ASG056-01</t>
  </si>
  <si>
    <t>EST0671</t>
  </si>
  <si>
    <t>EST0672</t>
  </si>
  <si>
    <t>EST0673</t>
  </si>
  <si>
    <t>ASG014-01, ASG034-02, ASG051-02</t>
  </si>
  <si>
    <t>EST0674</t>
  </si>
  <si>
    <t>EST0675</t>
  </si>
  <si>
    <t>EST0676</t>
  </si>
  <si>
    <t>EST0677</t>
  </si>
  <si>
    <t>ASG013-02, ASG018-01, ASG045-02</t>
  </si>
  <si>
    <t>EST0678</t>
  </si>
  <si>
    <t>EST0679</t>
  </si>
  <si>
    <t>ASG009-01, ASG017-01, ASG067-01</t>
  </si>
  <si>
    <t>EST0680</t>
  </si>
  <si>
    <t>EST0681</t>
  </si>
  <si>
    <t>EST0682</t>
  </si>
  <si>
    <t>EST0683</t>
  </si>
  <si>
    <t>ASG056-01, ASG063-01, ASG064-01</t>
  </si>
  <si>
    <t>EST0684</t>
  </si>
  <si>
    <t>ASG007-02, ASG022-02, ASG049-01</t>
  </si>
  <si>
    <t>EST0685</t>
  </si>
  <si>
    <t>EST0686</t>
  </si>
  <si>
    <t>EST0687</t>
  </si>
  <si>
    <t>EST0688</t>
  </si>
  <si>
    <t>EST0689</t>
  </si>
  <si>
    <t>ASG011-01, ASG056-01, ASG059-01</t>
  </si>
  <si>
    <t>EST0690</t>
  </si>
  <si>
    <t>ASG032-01, ASG041-02, ASG070-01</t>
  </si>
  <si>
    <t>EST0691</t>
  </si>
  <si>
    <t>EST0692</t>
  </si>
  <si>
    <t>EST0693</t>
  </si>
  <si>
    <t>EST0694</t>
  </si>
  <si>
    <t>ASG004-01, ASG023-01, ASG065-01</t>
  </si>
  <si>
    <t>EST0695</t>
  </si>
  <si>
    <t>ASG001-02, ASG008-02, ASG024-01</t>
  </si>
  <si>
    <t>EST0696</t>
  </si>
  <si>
    <t>EST0697</t>
  </si>
  <si>
    <t>EST0698</t>
  </si>
  <si>
    <t>EST0699</t>
  </si>
  <si>
    <t>EST0700</t>
  </si>
  <si>
    <t>EST0701</t>
  </si>
  <si>
    <t>EST0702</t>
  </si>
  <si>
    <t>ASG017-01, ASG038-02, ASG039-01</t>
  </si>
  <si>
    <t>EST0703</t>
  </si>
  <si>
    <t>EST0704</t>
  </si>
  <si>
    <t>ASG010-01, ASG012-01, ASG054-01</t>
  </si>
  <si>
    <t>EST0705</t>
  </si>
  <si>
    <t>ASG034-01, ASG050-01, ASG052-01</t>
  </si>
  <si>
    <t>EST0706</t>
  </si>
  <si>
    <t>EST0707</t>
  </si>
  <si>
    <t>EST0708</t>
  </si>
  <si>
    <t>EST0709</t>
  </si>
  <si>
    <t>EST0710</t>
  </si>
  <si>
    <t>EST0711</t>
  </si>
  <si>
    <t>ASG009-01, ASG013-01, ASG018-01, ASG027-02</t>
  </si>
  <si>
    <t>EST0712</t>
  </si>
  <si>
    <t>ASG032-01, ASG040-01, ASG046-01</t>
  </si>
  <si>
    <t>EST0713</t>
  </si>
  <si>
    <t>ASG028-01, ASG057-01, ASG061-01</t>
  </si>
  <si>
    <t>EST0714</t>
  </si>
  <si>
    <t>EST0715</t>
  </si>
  <si>
    <t>EST0716</t>
  </si>
  <si>
    <t>EST0717</t>
  </si>
  <si>
    <t>EST0718</t>
  </si>
  <si>
    <t>EST0719</t>
  </si>
  <si>
    <t>EST0720</t>
  </si>
  <si>
    <t>EST0721</t>
  </si>
  <si>
    <t>EST0722</t>
  </si>
  <si>
    <t>EST0723</t>
  </si>
  <si>
    <t>EST0724</t>
  </si>
  <si>
    <t>EST0725</t>
  </si>
  <si>
    <t>EST0726</t>
  </si>
  <si>
    <t>ASG011-02, ASG023-01, ASG033-02, ASG053-01</t>
  </si>
  <si>
    <t>EST0727</t>
  </si>
  <si>
    <t>ASG030-01, ASG041-02, ASG070-01</t>
  </si>
  <si>
    <t>EST0728</t>
  </si>
  <si>
    <t>ASG012-01, ASG015-01, ASG054-01</t>
  </si>
  <si>
    <t>EST0729</t>
  </si>
  <si>
    <t>EST0730</t>
  </si>
  <si>
    <t>ASG015-01, ASG027-01, ASG057-01</t>
  </si>
  <si>
    <t>EST0731</t>
  </si>
  <si>
    <t>EST0732</t>
  </si>
  <si>
    <t>EST0733</t>
  </si>
  <si>
    <t>EST0734</t>
  </si>
  <si>
    <t>ASG023-01, ASG025-01, ASG065-01</t>
  </si>
  <si>
    <t>EST0735</t>
  </si>
  <si>
    <t>EST0736</t>
  </si>
  <si>
    <t>EST0737</t>
  </si>
  <si>
    <t>EST0738</t>
  </si>
  <si>
    <t>EST0739</t>
  </si>
  <si>
    <t>ASG020-01, ASG023-01, ASG053-01</t>
  </si>
  <si>
    <t>EST0740</t>
  </si>
  <si>
    <t>EST0741</t>
  </si>
  <si>
    <t>EST0742</t>
  </si>
  <si>
    <t>EST0743</t>
  </si>
  <si>
    <t>EST0744</t>
  </si>
  <si>
    <t>EST0745</t>
  </si>
  <si>
    <t>ASG025-02, ASG059-02, ASG065-01</t>
  </si>
  <si>
    <t>EST0746</t>
  </si>
  <si>
    <t>EST0747</t>
  </si>
  <si>
    <t>EST0748</t>
  </si>
  <si>
    <t>EST0749</t>
  </si>
  <si>
    <t>EST0750</t>
  </si>
  <si>
    <t>ASG021-01, ASG022-01, ASG056-01, ASG063-01</t>
  </si>
  <si>
    <t>EST0751</t>
  </si>
  <si>
    <t>EST0752</t>
  </si>
  <si>
    <t>EST0753</t>
  </si>
  <si>
    <t>EST0754</t>
  </si>
  <si>
    <t>EST0755</t>
  </si>
  <si>
    <t>ASG003-01, ASG046-01, ASG068-01</t>
  </si>
  <si>
    <t>EST0756</t>
  </si>
  <si>
    <t>EST0757</t>
  </si>
  <si>
    <t>ASG009-01, ASG021-01, ASG022-01</t>
  </si>
  <si>
    <t>EST0758</t>
  </si>
  <si>
    <t>EST0759</t>
  </si>
  <si>
    <t>ASG032-01, ASG038-01, ASG040-01</t>
  </si>
  <si>
    <t>EST0760</t>
  </si>
  <si>
    <t>EST0761</t>
  </si>
  <si>
    <t>EST0762</t>
  </si>
  <si>
    <t>EST0763</t>
  </si>
  <si>
    <t>EST0764</t>
  </si>
  <si>
    <t>ASG023-01, ASG053-01, ASG060-01</t>
  </si>
  <si>
    <t>EST0765</t>
  </si>
  <si>
    <t>EST0766</t>
  </si>
  <si>
    <t>EST0767</t>
  </si>
  <si>
    <t>EST0768</t>
  </si>
  <si>
    <t>EST0769</t>
  </si>
  <si>
    <t>EST0770</t>
  </si>
  <si>
    <t>EST0771</t>
  </si>
  <si>
    <t>EST0772</t>
  </si>
  <si>
    <t>ASG007-02, ASG044-01, ASG049-01, ASG068-01</t>
  </si>
  <si>
    <t>EST0773</t>
  </si>
  <si>
    <t>ASG021-01, ASG023-02, ASG045-01</t>
  </si>
  <si>
    <t>EST0774</t>
  </si>
  <si>
    <t>EST0775</t>
  </si>
  <si>
    <t>EST0776</t>
  </si>
  <si>
    <t>EST0777</t>
  </si>
  <si>
    <t>EST0778</t>
  </si>
  <si>
    <t>EST0779</t>
  </si>
  <si>
    <t>EST0780</t>
  </si>
  <si>
    <t>ASG023-02, ASG035-01, ASG065-01, ASG070-01</t>
  </si>
  <si>
    <t>EST0781</t>
  </si>
  <si>
    <t>ASG023-02, ASG025-02, ASG056-01</t>
  </si>
  <si>
    <t>EST0782</t>
  </si>
  <si>
    <t>EST0783</t>
  </si>
  <si>
    <t>ASG020-02, ASG034-01, ASG052-01, ASG069-01</t>
  </si>
  <si>
    <t>EST0784</t>
  </si>
  <si>
    <t>EST0785</t>
  </si>
  <si>
    <t>EST0786</t>
  </si>
  <si>
    <t>ASG003-01, ASG037-01, ASG069-01</t>
  </si>
  <si>
    <t>EST0787</t>
  </si>
  <si>
    <t>EST0788</t>
  </si>
  <si>
    <t>EST0789</t>
  </si>
  <si>
    <t>ASG012-02, ASG027-02, ASG060-01</t>
  </si>
  <si>
    <t>EST0790</t>
  </si>
  <si>
    <t>EST0791</t>
  </si>
  <si>
    <t>ASG047-01, ASG057-02, ASG067-01</t>
  </si>
  <si>
    <t>EST0792</t>
  </si>
  <si>
    <t>ASG001-01, ASG004-01, ASG050-01, ASG058-02</t>
  </si>
  <si>
    <t>EST0793</t>
  </si>
  <si>
    <t>EST0794</t>
  </si>
  <si>
    <t>EST0795</t>
  </si>
  <si>
    <t>ASG023-02, ASG025-02, ASG053-01, ASG065-01</t>
  </si>
  <si>
    <t>EST0796</t>
  </si>
  <si>
    <t>EST0797</t>
  </si>
  <si>
    <t>EST0798</t>
  </si>
  <si>
    <t>ASG030-01, ASG040-02, ASG070-01</t>
  </si>
  <si>
    <t>EST0799</t>
  </si>
  <si>
    <t>ASG012-02, ASG030-01, ASG054-01</t>
  </si>
  <si>
    <t>EST0800</t>
  </si>
  <si>
    <t>EST0801</t>
  </si>
  <si>
    <t>ASG039-02, ASG047-02, ASG057-02, ASG067-01</t>
  </si>
  <si>
    <t>EST0802</t>
  </si>
  <si>
    <t>ASG003-01, ASG040-02, ASG052-01</t>
  </si>
  <si>
    <t>EST0803</t>
  </si>
  <si>
    <t>EST0804</t>
  </si>
  <si>
    <t>EST0805</t>
  </si>
  <si>
    <t>ASG010-01, ASG016-01, ASG049-01</t>
  </si>
  <si>
    <t>EST0806</t>
  </si>
  <si>
    <t>EST0807</t>
  </si>
  <si>
    <t>ASG007-01, ASG016-01, ASG049-01</t>
  </si>
  <si>
    <t>EST0808</t>
  </si>
  <si>
    <t>EST0809</t>
  </si>
  <si>
    <t>EST0810</t>
  </si>
  <si>
    <t>ASG053-01, ASG059-01, ASG061-01</t>
  </si>
  <si>
    <t>EST0811</t>
  </si>
  <si>
    <t>ASG002-01, ASG008-01, ASG056-01</t>
  </si>
  <si>
    <t>EST0812</t>
  </si>
  <si>
    <t>EST0813</t>
  </si>
  <si>
    <t>ASG006-01, ASG017-01, ASG057-01</t>
  </si>
  <si>
    <t>EST0814</t>
  </si>
  <si>
    <t>EST0815</t>
  </si>
  <si>
    <t>EST0816</t>
  </si>
  <si>
    <t>EST0817</t>
  </si>
  <si>
    <t>ASG019-01, ASG039-02, ASG055-02, ASG066-01</t>
  </si>
  <si>
    <t>EST0818</t>
  </si>
  <si>
    <t>EST0819</t>
  </si>
  <si>
    <t>EST0820</t>
  </si>
  <si>
    <t>EST0821</t>
  </si>
  <si>
    <t>EST0822</t>
  </si>
  <si>
    <t>EST0823</t>
  </si>
  <si>
    <t>EST0824</t>
  </si>
  <si>
    <t>EST0825</t>
  </si>
  <si>
    <t>EST0826</t>
  </si>
  <si>
    <t>ASG015-01, ASG027-02, ASG038-02</t>
  </si>
  <si>
    <t>EST0827</t>
  </si>
  <si>
    <t>EST0828</t>
  </si>
  <si>
    <t>EST0829</t>
  </si>
  <si>
    <t>ASG017-01, ASG063-02, ASG064-01</t>
  </si>
  <si>
    <t>EST0830</t>
  </si>
  <si>
    <t>EST0831</t>
  </si>
  <si>
    <t>ASG023-01, ASG053-01, ASG065-01</t>
  </si>
  <si>
    <t>EST0832</t>
  </si>
  <si>
    <t>ASG007-01, ASG009-01, ASG013-01</t>
  </si>
  <si>
    <t>EST0833</t>
  </si>
  <si>
    <t>EST0834</t>
  </si>
  <si>
    <t>EST0835</t>
  </si>
  <si>
    <t>ASG023-01, ASG030-01, ASG040-02, ASG070-01</t>
  </si>
  <si>
    <t>EST0836</t>
  </si>
  <si>
    <t>EST0837</t>
  </si>
  <si>
    <t>EST0838</t>
  </si>
  <si>
    <t>EST0839</t>
  </si>
  <si>
    <t>EST0840</t>
  </si>
  <si>
    <t>ASG008-01, ASG028-01, ASG059-01</t>
  </si>
  <si>
    <t>EST0841</t>
  </si>
  <si>
    <t>EST0842</t>
  </si>
  <si>
    <t>ASG009-01, ASG048-02, ASG050-01</t>
  </si>
  <si>
    <t>EST0843</t>
  </si>
  <si>
    <t>ASG006-02, ASG020-02, ASG069-01</t>
  </si>
  <si>
    <t>EST0844</t>
  </si>
  <si>
    <t>ASG027-01, ASG032-01, ASG060-01</t>
  </si>
  <si>
    <t>EST0845</t>
  </si>
  <si>
    <t>EST0846</t>
  </si>
  <si>
    <t>EST0847</t>
  </si>
  <si>
    <t>EST0848</t>
  </si>
  <si>
    <t>ASG024-02, ASG050-01, ASG066-01</t>
  </si>
  <si>
    <t>EST0849</t>
  </si>
  <si>
    <t>EST0850</t>
  </si>
  <si>
    <t>ASG029-01, ASG058-02, ASG063-02, ASG064-02</t>
  </si>
  <si>
    <t>EST0851</t>
  </si>
  <si>
    <t>ASG010-01, ASG037-01, ASG054-01</t>
  </si>
  <si>
    <t>EST0852</t>
  </si>
  <si>
    <t>ASG020-01, ASG041-01, ASG070-01</t>
  </si>
  <si>
    <t>EST0853</t>
  </si>
  <si>
    <t>ASG008-02, ASG025-01, ASG035-01</t>
  </si>
  <si>
    <t>EST0854</t>
  </si>
  <si>
    <t>EST0855</t>
  </si>
  <si>
    <t>EST0856</t>
  </si>
  <si>
    <t>EST0857</t>
  </si>
  <si>
    <t>ASG031-02, ASG058-02, ASG069-01</t>
  </si>
  <si>
    <t>EST0858</t>
  </si>
  <si>
    <t>EST0859</t>
  </si>
  <si>
    <t>EST0860</t>
  </si>
  <si>
    <t>ASG003-01, ASG055-01, ASG066-01</t>
  </si>
  <si>
    <t>EST0861</t>
  </si>
  <si>
    <t>EST0862</t>
  </si>
  <si>
    <t>EST0863</t>
  </si>
  <si>
    <t>ASG033-02, ASG035-01, ASG041-01</t>
  </si>
  <si>
    <t>EST0864</t>
  </si>
  <si>
    <t>ASG018-01, ASG048-02, ASG070-01</t>
  </si>
  <si>
    <t>EST0865</t>
  </si>
  <si>
    <t>EST0866</t>
  </si>
  <si>
    <t>ASG001-02, ASG002-01, ASG050-01</t>
  </si>
  <si>
    <t>EST0867</t>
  </si>
  <si>
    <t>ASG017-01, ASG047-01, ASG052-01</t>
  </si>
  <si>
    <t>EST0868</t>
  </si>
  <si>
    <t>EST0869</t>
  </si>
  <si>
    <t>ASG022-01, ASG042-01, ASG045-01</t>
  </si>
  <si>
    <t>EST0870</t>
  </si>
  <si>
    <t>ASG001-01, ASG021-01, ASG045-02</t>
  </si>
  <si>
    <t>EST0871</t>
  </si>
  <si>
    <t>EST0872</t>
  </si>
  <si>
    <t>EST0873</t>
  </si>
  <si>
    <t>EST0874</t>
  </si>
  <si>
    <t>EST0875</t>
  </si>
  <si>
    <t>EST0876</t>
  </si>
  <si>
    <t>ASG017-01, ASG047-01, ASG057-02, ASG067-01</t>
  </si>
  <si>
    <t>EST0877</t>
  </si>
  <si>
    <t>EST0878</t>
  </si>
  <si>
    <t>EST0879</t>
  </si>
  <si>
    <t>EST0880</t>
  </si>
  <si>
    <t>ASG017-01, ASG021-01, ASG022-01</t>
  </si>
  <si>
    <t>EST0881</t>
  </si>
  <si>
    <t>EST0882</t>
  </si>
  <si>
    <t>EST0883</t>
  </si>
  <si>
    <t>EST0884</t>
  </si>
  <si>
    <t>EST0885</t>
  </si>
  <si>
    <t>ASG014-01, ASG015-01, ASG027-02, ASG038-02</t>
  </si>
  <si>
    <t>EST0886</t>
  </si>
  <si>
    <t>EST0887</t>
  </si>
  <si>
    <t>EST0888</t>
  </si>
  <si>
    <t>ASG010-01, ASG014-01, ASG048-02</t>
  </si>
  <si>
    <t>EST0889</t>
  </si>
  <si>
    <t>ASG038-01, ASG040-01, ASG041-01, ASG069-01</t>
  </si>
  <si>
    <t>EST0890</t>
  </si>
  <si>
    <t>EST0891</t>
  </si>
  <si>
    <t>EST0892</t>
  </si>
  <si>
    <t>EST0893</t>
  </si>
  <si>
    <t>ASG006-02, ASG022-01, ASG026-01</t>
  </si>
  <si>
    <t>EST0894</t>
  </si>
  <si>
    <t>EST0895</t>
  </si>
  <si>
    <t>EST0896</t>
  </si>
  <si>
    <t>EST0897</t>
  </si>
  <si>
    <t>ASG012-01, ASG027-01, ASG038-01</t>
  </si>
  <si>
    <t>EST0898</t>
  </si>
  <si>
    <t>EST0899</t>
  </si>
  <si>
    <t>EST0900</t>
  </si>
  <si>
    <t>ASG026-01, ASG032-01, ASG070-01</t>
  </si>
  <si>
    <t>EST0901</t>
  </si>
  <si>
    <t>EST0902</t>
  </si>
  <si>
    <t>EST0903</t>
  </si>
  <si>
    <t>ASG012-01, ASG051-01, ASG054-01</t>
  </si>
  <si>
    <t>EST0904</t>
  </si>
  <si>
    <t>EST0905</t>
  </si>
  <si>
    <t>ASG034-01, ASG035-01, ASG051-01</t>
  </si>
  <si>
    <t>EST0906</t>
  </si>
  <si>
    <t>ASG035-01, ASG044-01, ASG065-01</t>
  </si>
  <si>
    <t>EST0907</t>
  </si>
  <si>
    <t>EST0908</t>
  </si>
  <si>
    <t>ASG007-01, ASG057-01, ASG067-01</t>
  </si>
  <si>
    <t>EST0909</t>
  </si>
  <si>
    <t>EST0910</t>
  </si>
  <si>
    <t>ASG005-01, ASG024-02, ASG045-01, ASG055-01</t>
  </si>
  <si>
    <t>EST0911</t>
  </si>
  <si>
    <t>EST0912</t>
  </si>
  <si>
    <t>ASG014-01, ASG022-02, ASG045-02</t>
  </si>
  <si>
    <t>EST0913</t>
  </si>
  <si>
    <t>EST0914</t>
  </si>
  <si>
    <t>EST0915</t>
  </si>
  <si>
    <t>ASG018-01, ASG023-01, ASG025-01, ASG035-01</t>
  </si>
  <si>
    <t>EST0916</t>
  </si>
  <si>
    <t>EST0917</t>
  </si>
  <si>
    <t>ASG013-02, ASG050-01, ASG052-01</t>
  </si>
  <si>
    <t>EST0918</t>
  </si>
  <si>
    <t>ASG035-01, ASG039-02, ASG047-02, ASG048-02</t>
  </si>
  <si>
    <t>EST0919</t>
  </si>
  <si>
    <t>EST0920</t>
  </si>
  <si>
    <t>EST0921</t>
  </si>
  <si>
    <t>ASG009-01, ASG023-02, ASG065-01</t>
  </si>
  <si>
    <t>EST0922</t>
  </si>
  <si>
    <t>EST0923</t>
  </si>
  <si>
    <t>ASG003-01, ASG026-01, ASG033-01, ASG037-01</t>
  </si>
  <si>
    <t>EST0924</t>
  </si>
  <si>
    <t>EST0925</t>
  </si>
  <si>
    <t>ASG015-01, ASG024-01, ASG047-02, ASG051-01</t>
  </si>
  <si>
    <t>EST0926</t>
  </si>
  <si>
    <t>ASG017-01, ASG039-01, ASG046-01, ASG057-01</t>
  </si>
  <si>
    <t>EST0927</t>
  </si>
  <si>
    <t>EST0928</t>
  </si>
  <si>
    <t>EST0929</t>
  </si>
  <si>
    <t>ASG027-01, ASG060-01, ASG069-01</t>
  </si>
  <si>
    <t>EST0930</t>
  </si>
  <si>
    <t>EST0931</t>
  </si>
  <si>
    <t>EST0932</t>
  </si>
  <si>
    <t>ASG017-01, ASG039-01, ASG057-01, ASG067-01</t>
  </si>
  <si>
    <t>EST0933</t>
  </si>
  <si>
    <t>EST0934</t>
  </si>
  <si>
    <t>EST0935</t>
  </si>
  <si>
    <t>EST0936</t>
  </si>
  <si>
    <t>ASG030-01, ASG032-01, ASG040-02, ASG070-01</t>
  </si>
  <si>
    <t>EST0937</t>
  </si>
  <si>
    <t>EST0938</t>
  </si>
  <si>
    <t>ASG046-01, ASG053-01, ASG065-01</t>
  </si>
  <si>
    <t>EST0939</t>
  </si>
  <si>
    <t>EST0940</t>
  </si>
  <si>
    <t>EST0941</t>
  </si>
  <si>
    <t>ASG017-01, ASG034-01, ASG042-01, ASG069-01</t>
  </si>
  <si>
    <t>EST0942</t>
  </si>
  <si>
    <t>EST0943</t>
  </si>
  <si>
    <t>EST0944</t>
  </si>
  <si>
    <t>ASG001-02, ASG003-01, ASG046-01</t>
  </si>
  <si>
    <t>EST0945</t>
  </si>
  <si>
    <t>EST0946</t>
  </si>
  <si>
    <t>ASG051-01, ASG064-02, ASG069-01</t>
  </si>
  <si>
    <t>EST0947</t>
  </si>
  <si>
    <t>EST0948</t>
  </si>
  <si>
    <t>EST0949</t>
  </si>
  <si>
    <t>ASG038-02, ASG058-01, ASG067-01</t>
  </si>
  <si>
    <t>EST0950</t>
  </si>
  <si>
    <t>ASG018-01, ASG030-01, ASG070-01</t>
  </si>
  <si>
    <t>EST0951</t>
  </si>
  <si>
    <t>EST0952</t>
  </si>
  <si>
    <t>EST0953</t>
  </si>
  <si>
    <t>EST0954</t>
  </si>
  <si>
    <t>EST0955</t>
  </si>
  <si>
    <t>EST0956</t>
  </si>
  <si>
    <t>ASG021-01, ASG027-02, ASG038-01</t>
  </si>
  <si>
    <t>EST0957</t>
  </si>
  <si>
    <t>EST0958</t>
  </si>
  <si>
    <t>EST0959</t>
  </si>
  <si>
    <t>EST0960</t>
  </si>
  <si>
    <t>ASG010-01, ASG012-02, ASG014-01, ASG062-01</t>
  </si>
  <si>
    <t>EST0961</t>
  </si>
  <si>
    <t>ASG005-01, ASG019-02, ASG066-01</t>
  </si>
  <si>
    <t>EST0962</t>
  </si>
  <si>
    <t>EST0963</t>
  </si>
  <si>
    <t>EST0964</t>
  </si>
  <si>
    <t>ASG020-02, ASG051-01, ASG069-01</t>
  </si>
  <si>
    <t>EST0965</t>
  </si>
  <si>
    <t>ASG021-01, ASG045-01, ASG058-01</t>
  </si>
  <si>
    <t>EST0966</t>
  </si>
  <si>
    <t>EST0967</t>
  </si>
  <si>
    <t>ASG013-01, ASG056-01, ASG062-01</t>
  </si>
  <si>
    <t>EST0968</t>
  </si>
  <si>
    <t>EST0969</t>
  </si>
  <si>
    <t>ASG016-01, ASG042-01, ASG055-01</t>
  </si>
  <si>
    <t>EST0970</t>
  </si>
  <si>
    <t>EST0971</t>
  </si>
  <si>
    <t>EST0972</t>
  </si>
  <si>
    <t>EST0973</t>
  </si>
  <si>
    <t>EST0974</t>
  </si>
  <si>
    <t>ASG013-02, ASG051-01, ASG069-01</t>
  </si>
  <si>
    <t>EST0975</t>
  </si>
  <si>
    <t>ASG012-02, ASG024-02, ASG066-01</t>
  </si>
  <si>
    <t>EST0976</t>
  </si>
  <si>
    <t>ASG015-01, ASG025-02, ASG038-02, ASG060-01</t>
  </si>
  <si>
    <t>EST0977</t>
  </si>
  <si>
    <t>EST0978</t>
  </si>
  <si>
    <t>ASG005-01, ASG012-02, ASG036-01</t>
  </si>
  <si>
    <t>EST0979</t>
  </si>
  <si>
    <t>ASG037-01, ASG040-01, ASG041-01</t>
  </si>
  <si>
    <t>EST0980</t>
  </si>
  <si>
    <t>ASG036-01, ASG057-02, ASG067-01</t>
  </si>
  <si>
    <t>EST0981</t>
  </si>
  <si>
    <t>ASG043-01, ASG050-01, ASG056-01</t>
  </si>
  <si>
    <t>EST0982</t>
  </si>
  <si>
    <t>EST0983</t>
  </si>
  <si>
    <t>ASG018-01, ASG026-01, ASG037-01</t>
  </si>
  <si>
    <t>EST0984</t>
  </si>
  <si>
    <t>ASG015-01, ASG043-01, ASG060-01</t>
  </si>
  <si>
    <t>EST0985</t>
  </si>
  <si>
    <t>ASG034-02, ASG042-01, ASG051-02, ASG069-01</t>
  </si>
  <si>
    <t>EST0986</t>
  </si>
  <si>
    <t>EST0987</t>
  </si>
  <si>
    <t>EST0988</t>
  </si>
  <si>
    <t>ASG015-01, ASG040-01, ASG060-01</t>
  </si>
  <si>
    <t>EST0989</t>
  </si>
  <si>
    <t>ASG015-01, ASG016-01, ASG027-02</t>
  </si>
  <si>
    <t>EST0990</t>
  </si>
  <si>
    <t>EST0991</t>
  </si>
  <si>
    <t>EST0992</t>
  </si>
  <si>
    <t>ASG022-02, ASG048-02, ASG050-01</t>
  </si>
  <si>
    <t>EST0993</t>
  </si>
  <si>
    <t>ASG023-02, ASG035-01, ASG053-01, ASG065-01</t>
  </si>
  <si>
    <t>EST0994</t>
  </si>
  <si>
    <t>EST0995</t>
  </si>
  <si>
    <t>EST0996</t>
  </si>
  <si>
    <t>EST0997</t>
  </si>
  <si>
    <t>EST0998</t>
  </si>
  <si>
    <t>EST0999</t>
  </si>
  <si>
    <t>ASG010-01, ASG013-01, ASG018-01</t>
  </si>
  <si>
    <t>EST1000</t>
  </si>
  <si>
    <t>ASG001-01, ASG004-01, ASG051-01</t>
  </si>
  <si>
    <t>EST1001</t>
  </si>
  <si>
    <t>EST1002</t>
  </si>
  <si>
    <t>ASG007-01, ASG016-01, ASG018-01, ASG044-01</t>
  </si>
  <si>
    <t>EST1003</t>
  </si>
  <si>
    <t>ASG003-01, ASG033-01, ASG056-01</t>
  </si>
  <si>
    <t>EST1004</t>
  </si>
  <si>
    <t>EST1005</t>
  </si>
  <si>
    <t>ASG004-01, ASG034-02, ASG042-01, ASG069-01</t>
  </si>
  <si>
    <t>EST1006</t>
  </si>
  <si>
    <t>ASG032-01, ASG041-02, ASG050-01</t>
  </si>
  <si>
    <t>EST1007</t>
  </si>
  <si>
    <t>ASG019-01, ASG028-01, ASG041-01</t>
  </si>
  <si>
    <t>EST1008</t>
  </si>
  <si>
    <t>ASG012-02, ASG026-01, ASG036-01</t>
  </si>
  <si>
    <t>EST1009</t>
  </si>
  <si>
    <t>EST1010</t>
  </si>
  <si>
    <t>ASG002-02, ASG043-02, ASG056-01, ASG066-01</t>
  </si>
  <si>
    <t>EST1011</t>
  </si>
  <si>
    <t>EST1012</t>
  </si>
  <si>
    <t>EST1013</t>
  </si>
  <si>
    <t>EST1014</t>
  </si>
  <si>
    <t>ASG013-02, ASG018-01, ASG037-01, ASG048-01</t>
  </si>
  <si>
    <t>EST1015</t>
  </si>
  <si>
    <t>ASG012-01, ASG014-01, ASG031-02</t>
  </si>
  <si>
    <t>EST1016</t>
  </si>
  <si>
    <t>ASG003-01, ASG020-02, ASG059-01</t>
  </si>
  <si>
    <t>EST1017</t>
  </si>
  <si>
    <t>ASG027-01, ASG048-02, ASG060-01</t>
  </si>
  <si>
    <t>EST1018</t>
  </si>
  <si>
    <t>EST1019</t>
  </si>
  <si>
    <t>ASG005-01, ASG047-01, ASG066-01</t>
  </si>
  <si>
    <t>EST1020</t>
  </si>
  <si>
    <t>EST1021</t>
  </si>
  <si>
    <t>EST1022</t>
  </si>
  <si>
    <t>ASG004-01, ASG018-01, ASG050-01, ASG052-01</t>
  </si>
  <si>
    <t>EST1023</t>
  </si>
  <si>
    <t>ASG005-01, ASG024-02, ASG055-02, ASG066-01</t>
  </si>
  <si>
    <t>EST1024</t>
  </si>
  <si>
    <t>EST1025</t>
  </si>
  <si>
    <t>ASG009-01, ASG039-01, ASG067-01</t>
  </si>
  <si>
    <t>EST1026</t>
  </si>
  <si>
    <t>EST1027</t>
  </si>
  <si>
    <t>EST1028</t>
  </si>
  <si>
    <t>EST1029</t>
  </si>
  <si>
    <t>EST1030</t>
  </si>
  <si>
    <t>ASG029-01, ASG031-01, ASG063-02</t>
  </si>
  <si>
    <t>EST1031</t>
  </si>
  <si>
    <t>ASG036-01, ASG054-01, ASG057-01</t>
  </si>
  <si>
    <t>EST1032</t>
  </si>
  <si>
    <t>EST1033</t>
  </si>
  <si>
    <t>ASG023-01, ASG025-01, ASG035-01, ASG065-01</t>
  </si>
  <si>
    <t>EST1034</t>
  </si>
  <si>
    <t>ASG016-01, ASG049-01, ASG065-01</t>
  </si>
  <si>
    <t>EST1035</t>
  </si>
  <si>
    <t>EST1036</t>
  </si>
  <si>
    <t>ASG017-01, ASG039-01, ASG045-02</t>
  </si>
  <si>
    <t>EST1037</t>
  </si>
  <si>
    <t>EST1038</t>
  </si>
  <si>
    <t>ASG044-01, ASG049-01, ASG063-02</t>
  </si>
  <si>
    <t>EST1039</t>
  </si>
  <si>
    <t>ASG007-02, ASG064-02, ASG068-01</t>
  </si>
  <si>
    <t>EST1040</t>
  </si>
  <si>
    <t>EST1041</t>
  </si>
  <si>
    <t>ASG012-02, ASG031-01, ASG063-02</t>
  </si>
  <si>
    <t>EST1042</t>
  </si>
  <si>
    <t>ASG002-02, ASG056-01, ASG059-01</t>
  </si>
  <si>
    <t>EST1043</t>
  </si>
  <si>
    <t>EST1044</t>
  </si>
  <si>
    <t>ASG027-01, ASG038-01, ASG060-01, ASG061-01</t>
  </si>
  <si>
    <t>EST1045</t>
  </si>
  <si>
    <t>ASG019-02, ASG024-01, ASG055-01</t>
  </si>
  <si>
    <t>EST1046</t>
  </si>
  <si>
    <t>EST1047</t>
  </si>
  <si>
    <t>EST1048</t>
  </si>
  <si>
    <t>ASG025-01, ASG035-01, ASG057-01, ASG065-01</t>
  </si>
  <si>
    <t>EST1049</t>
  </si>
  <si>
    <t>EST1050</t>
  </si>
  <si>
    <t>EST1051</t>
  </si>
  <si>
    <t>ASG031-01, ASG034-01, ASG063-02</t>
  </si>
  <si>
    <t>EST1052</t>
  </si>
  <si>
    <t>EST1053</t>
  </si>
  <si>
    <t>EST1054</t>
  </si>
  <si>
    <t>ASG019-01, ASG038-02, ASG055-02</t>
  </si>
  <si>
    <t>EST1055</t>
  </si>
  <si>
    <t>ASG006-02, ASG045-02, ASG062-01</t>
  </si>
  <si>
    <t>EST1056</t>
  </si>
  <si>
    <t>ASG024-02, ASG055-02, ASG066-01</t>
  </si>
  <si>
    <t>EST1057</t>
  </si>
  <si>
    <t>EST1058</t>
  </si>
  <si>
    <t>EST1059</t>
  </si>
  <si>
    <t>ASG002-02, ASG011-01, ASG021-01</t>
  </si>
  <si>
    <t>EST1060</t>
  </si>
  <si>
    <t>ASG005-01, ASG049-01, ASG066-01</t>
  </si>
  <si>
    <t>EST1061</t>
  </si>
  <si>
    <t>EST1062</t>
  </si>
  <si>
    <t>ASG011-01, ASG057-01, ASG060-01</t>
  </si>
  <si>
    <t>EST1063</t>
  </si>
  <si>
    <t>ASG025-02, ASG037-01, ASG053-01</t>
  </si>
  <si>
    <t>EST1064</t>
  </si>
  <si>
    <t>ASG010-01, ASG012-01, ASG014-01, ASG052-01</t>
  </si>
  <si>
    <t>EST1065</t>
  </si>
  <si>
    <t>ASG004-01, ASG020-01, ASG027-01, ASG040-01</t>
  </si>
  <si>
    <t>EST1066</t>
  </si>
  <si>
    <t>EST1067</t>
  </si>
  <si>
    <t>EST1068</t>
  </si>
  <si>
    <t>EST1069</t>
  </si>
  <si>
    <t>EST1070</t>
  </si>
  <si>
    <t>EST1071</t>
  </si>
  <si>
    <t>ASG012-02, ASG014-01, ASG043-01</t>
  </si>
  <si>
    <t>EST1072</t>
  </si>
  <si>
    <t>ASG022-02, ASG034-02, ASG042-01, ASG051-02</t>
  </si>
  <si>
    <t>EST1073</t>
  </si>
  <si>
    <t>EST1074</t>
  </si>
  <si>
    <t>ASG020-01, ASG031-02, ASG069-01</t>
  </si>
  <si>
    <t>EST1075</t>
  </si>
  <si>
    <t>ASG028-01, ASG029-01, ASG058-02, ASG063-02</t>
  </si>
  <si>
    <t>EST1076</t>
  </si>
  <si>
    <t>EST1077</t>
  </si>
  <si>
    <t>EST1078</t>
  </si>
  <si>
    <t>EST1079</t>
  </si>
  <si>
    <t>ASG017-01, ASG024-02, ASG036-01</t>
  </si>
  <si>
    <t>EST1080</t>
  </si>
  <si>
    <t>EST1081</t>
  </si>
  <si>
    <t>EST1082</t>
  </si>
  <si>
    <t>ASG018-01, ASG021-01, ASG022-01</t>
  </si>
  <si>
    <t>EST1083</t>
  </si>
  <si>
    <t>ASG036-01, ASG050-01, ASG052-01</t>
  </si>
  <si>
    <t>EST1084</t>
  </si>
  <si>
    <t>EST1085</t>
  </si>
  <si>
    <t>ASG008-01, ASG016-01, ASG044-01</t>
  </si>
  <si>
    <t>EST1086</t>
  </si>
  <si>
    <t>EST1087</t>
  </si>
  <si>
    <t>EST1088</t>
  </si>
  <si>
    <t>ASG021-01, ASG043-01, ASG062-01</t>
  </si>
  <si>
    <t>EST1089</t>
  </si>
  <si>
    <t>EST1090</t>
  </si>
  <si>
    <t>ASG005-01, ASG007-02, ASG066-01</t>
  </si>
  <si>
    <t>EST1091</t>
  </si>
  <si>
    <t>EST1092</t>
  </si>
  <si>
    <t>EST1093</t>
  </si>
  <si>
    <t>EST1094</t>
  </si>
  <si>
    <t>ASG016-01, ASG035-01, ASG049-01, ASG068-01</t>
  </si>
  <si>
    <t>EST1095</t>
  </si>
  <si>
    <t>EST1096</t>
  </si>
  <si>
    <t>EST1097</t>
  </si>
  <si>
    <t>EST1098</t>
  </si>
  <si>
    <t>EST1099</t>
  </si>
  <si>
    <t>EST1100</t>
  </si>
  <si>
    <t>EST1101</t>
  </si>
  <si>
    <t>EST1102</t>
  </si>
  <si>
    <t>EST1103</t>
  </si>
  <si>
    <t>EST1104</t>
  </si>
  <si>
    <t>EST1105</t>
  </si>
  <si>
    <t>EST1106</t>
  </si>
  <si>
    <t>EST1107</t>
  </si>
  <si>
    <t>EST1108</t>
  </si>
  <si>
    <t>EST1109</t>
  </si>
  <si>
    <t>EST1110</t>
  </si>
  <si>
    <t>EST1111</t>
  </si>
  <si>
    <t>ASG005-01, ASG026-01, ASG055-02, ASG066-01</t>
  </si>
  <si>
    <t>EST1112</t>
  </si>
  <si>
    <t>ASG013-01, ASG017-01, ASG048-01</t>
  </si>
  <si>
    <t>EST1113</t>
  </si>
  <si>
    <t>EST1114</t>
  </si>
  <si>
    <t>EST1115</t>
  </si>
  <si>
    <t>EST1116</t>
  </si>
  <si>
    <t>ASG035-01, ASG053-01, ASG061-01</t>
  </si>
  <si>
    <t>EST1117</t>
  </si>
  <si>
    <t>ASG042-01, ASG051-02, ASG056-01, ASG069-01</t>
  </si>
  <si>
    <t>EST1118</t>
  </si>
  <si>
    <t>EST1119</t>
  </si>
  <si>
    <t>ASG020-01, ASG028-02, ASG059-02</t>
  </si>
  <si>
    <t>EST1120</t>
  </si>
  <si>
    <t>EST1121</t>
  </si>
  <si>
    <t>ASG015-01, ASG051-02, ASG069-01</t>
  </si>
  <si>
    <t>EST1122</t>
  </si>
  <si>
    <t>EST1123</t>
  </si>
  <si>
    <t>EST1124</t>
  </si>
  <si>
    <t>EST1125</t>
  </si>
  <si>
    <t>EST1126</t>
  </si>
  <si>
    <t>EST1127</t>
  </si>
  <si>
    <t>ASG022-02, ASG023-02, ASG025-02</t>
  </si>
  <si>
    <t>EST1128</t>
  </si>
  <si>
    <t>EST1129</t>
  </si>
  <si>
    <t>ASG027-01, ASG055-02, ASG070-01</t>
  </si>
  <si>
    <t>EST1130</t>
  </si>
  <si>
    <t>EST1131</t>
  </si>
  <si>
    <t>ASG020-01, ASG056-01, ASG069-01</t>
  </si>
  <si>
    <t>EST1132</t>
  </si>
  <si>
    <t>ASG006-02, ASG015-01, ASG022-01</t>
  </si>
  <si>
    <t>EST1133</t>
  </si>
  <si>
    <t>ASG012-01, ASG023-02, ASG054-01</t>
  </si>
  <si>
    <t>EST1134</t>
  </si>
  <si>
    <t>EST1135</t>
  </si>
  <si>
    <t>ASG003-01, ASG008-01, ASG061-01</t>
  </si>
  <si>
    <t>EST1136</t>
  </si>
  <si>
    <t>EST1137</t>
  </si>
  <si>
    <t>EST1138</t>
  </si>
  <si>
    <t>EST1139</t>
  </si>
  <si>
    <t>ASG005-01, ASG022-02, ASG066-01</t>
  </si>
  <si>
    <t>EST1140</t>
  </si>
  <si>
    <t>EST1141</t>
  </si>
  <si>
    <t>EST1142</t>
  </si>
  <si>
    <t>EST1143</t>
  </si>
  <si>
    <t>ASG002-01, ASG004-01, ASG056-01</t>
  </si>
  <si>
    <t>EST1144</t>
  </si>
  <si>
    <t>EST1145</t>
  </si>
  <si>
    <t>EST1146</t>
  </si>
  <si>
    <t>EST1147</t>
  </si>
  <si>
    <t>EST1148</t>
  </si>
  <si>
    <t>EST1149</t>
  </si>
  <si>
    <t>EST1150</t>
  </si>
  <si>
    <t>EST1151</t>
  </si>
  <si>
    <t>EST1152</t>
  </si>
  <si>
    <t>EST1153</t>
  </si>
  <si>
    <t>EST1154</t>
  </si>
  <si>
    <t>EST1155</t>
  </si>
  <si>
    <t>ASG021-01, ASG034-01, ASG045-02</t>
  </si>
  <si>
    <t>EST1156</t>
  </si>
  <si>
    <t>ASG003-01, ASG033-01, ASG037-01, ASG046-01</t>
  </si>
  <si>
    <t>EST1157</t>
  </si>
  <si>
    <t>EST1158</t>
  </si>
  <si>
    <t>EST1159</t>
  </si>
  <si>
    <t>EST1160</t>
  </si>
  <si>
    <t>EST1161</t>
  </si>
  <si>
    <t>EST1162</t>
  </si>
  <si>
    <t>ASG015-01, ASG035-01, ASG042-01</t>
  </si>
  <si>
    <t>EST1163</t>
  </si>
  <si>
    <t>ASG043-02, ASG055-01, ASG056-01</t>
  </si>
  <si>
    <t>EST1164</t>
  </si>
  <si>
    <t>EST1165</t>
  </si>
  <si>
    <t>ASG024-02, ASG029-01, ASG063-02, ASG064-02</t>
  </si>
  <si>
    <t>EST1166</t>
  </si>
  <si>
    <t>EST1167</t>
  </si>
  <si>
    <t>ASG041-01, ASG044-01, ASG068-01</t>
  </si>
  <si>
    <t>EST1168</t>
  </si>
  <si>
    <t>EST1169</t>
  </si>
  <si>
    <t>ASG005-01, ASG019-02, ASG040-01, ASG055-01</t>
  </si>
  <si>
    <t>EST1170</t>
  </si>
  <si>
    <t>EST1171</t>
  </si>
  <si>
    <t>ASG010-01, ASG011-01, ASG067-01</t>
  </si>
  <si>
    <t>EST1172</t>
  </si>
  <si>
    <t>ASG022-01, ASG036-01, ASG054-01</t>
  </si>
  <si>
    <t>EST1173</t>
  </si>
  <si>
    <t>EST1174</t>
  </si>
  <si>
    <t>EST1175</t>
  </si>
  <si>
    <t>ASG009-01, ASG013-02, ASG018-01, ASG045-02</t>
  </si>
  <si>
    <t>EST1176</t>
  </si>
  <si>
    <t>EST1177</t>
  </si>
  <si>
    <t>EST1178</t>
  </si>
  <si>
    <t>EST1179</t>
  </si>
  <si>
    <t>EST1180</t>
  </si>
  <si>
    <t>EST1181</t>
  </si>
  <si>
    <t>EST1182</t>
  </si>
  <si>
    <t>EST1183</t>
  </si>
  <si>
    <t>EST1184</t>
  </si>
  <si>
    <t>EST1185</t>
  </si>
  <si>
    <t>EST1186</t>
  </si>
  <si>
    <t>EST1187</t>
  </si>
  <si>
    <t>EST1188</t>
  </si>
  <si>
    <t>ASG049-01, ASG055-02, ASG068-01</t>
  </si>
  <si>
    <t>EST1189</t>
  </si>
  <si>
    <t>ASG042-01, ASG058-01, ASG063-01</t>
  </si>
  <si>
    <t>EST1190</t>
  </si>
  <si>
    <t>EST1191</t>
  </si>
  <si>
    <t>EST1192</t>
  </si>
  <si>
    <t>EST1193</t>
  </si>
  <si>
    <t>EST1194</t>
  </si>
  <si>
    <t>EST1195</t>
  </si>
  <si>
    <t>EST1196</t>
  </si>
  <si>
    <t>EST1197</t>
  </si>
  <si>
    <t>EST1198</t>
  </si>
  <si>
    <t>ASG029-01, ASG058-01, ASG064-02</t>
  </si>
  <si>
    <t>EST1199</t>
  </si>
  <si>
    <t>ASG062-01, ASG065-01, ASG069-01</t>
  </si>
  <si>
    <t>EST1200</t>
  </si>
  <si>
    <t>ASG015-01, ASG036-01, ASG041-02</t>
  </si>
  <si>
    <t>Panel Detalle (optimizada con búsqueda local)</t>
  </si>
  <si>
    <t>Parámetros para Ejecutar Evaluación</t>
  </si>
  <si>
    <t>Fecha</t>
  </si>
  <si>
    <t>FO</t>
  </si>
  <si>
    <t>Choques</t>
  </si>
  <si>
    <t>Ratio Desbalance</t>
  </si>
  <si>
    <t>Ratio Ventana</t>
  </si>
  <si>
    <t>ALFA</t>
  </si>
  <si>
    <t>Estudiantes con carga</t>
  </si>
  <si>
    <t>Ventanas (raw) total</t>
  </si>
  <si>
    <t>Choques (dup) total</t>
  </si>
  <si>
    <t>CV IDEAL</t>
  </si>
  <si>
    <t>0.1</t>
  </si>
  <si>
    <t>VENTANA IDEAL</t>
  </si>
  <si>
    <t>Distribución Ventanas</t>
  </si>
  <si>
    <t>Estudiantes con esas ventanas</t>
  </si>
  <si>
    <t>Estudiantes (&lt;=raw)</t>
  </si>
  <si>
    <t>% Estudiantes (&lt;=raw)</t>
  </si>
  <si>
    <t>Distribución Choques (duplicados)</t>
  </si>
  <si>
    <t>%</t>
  </si>
  <si>
    <t>15.6%</t>
  </si>
  <si>
    <t>94.1%</t>
  </si>
  <si>
    <t>HOJA MALLA</t>
  </si>
  <si>
    <t>MALLAS</t>
  </si>
  <si>
    <t>21.3%</t>
  </si>
  <si>
    <t>4.8%</t>
  </si>
  <si>
    <t>HOJA HORARIOS</t>
  </si>
  <si>
    <t>Semestre 2025-1.generado-HorarioMaestro</t>
  </si>
  <si>
    <t>34.7%</t>
  </si>
  <si>
    <t>HOJA MATRÍCULAS</t>
  </si>
  <si>
    <t>Semestre 2025-1.generado-Alumnos</t>
  </si>
  <si>
    <t>42.7%</t>
  </si>
  <si>
    <t>0.1%</t>
  </si>
  <si>
    <t>RESOLVER SEGMENTACIÓN DE ESTUDIANTES</t>
  </si>
  <si>
    <t>47.8%</t>
  </si>
  <si>
    <t>68.1%</t>
  </si>
  <si>
    <t>Guía para leer el “Panel Detalle (última ejecución)”</t>
  </si>
  <si>
    <t>71.3%</t>
  </si>
  <si>
    <t>75.9%</t>
  </si>
  <si>
    <t>84.1%</t>
  </si>
  <si>
    <t>87.9%</t>
  </si>
  <si>
    <t>91.8%</t>
  </si>
  <si>
    <t>97.3%</t>
  </si>
  <si>
    <t>98.9%</t>
  </si>
  <si>
    <t>99.6%</t>
  </si>
  <si>
    <t>99.9%</t>
  </si>
  <si>
    <t>Matrícula por asignatura</t>
  </si>
  <si>
    <t>Alumnos</t>
  </si>
  <si>
    <t>Matrícula por paralelo</t>
  </si>
  <si>
    <t>14.5%</t>
  </si>
  <si>
    <t>ICI4247-01</t>
  </si>
  <si>
    <t>7.3%</t>
  </si>
  <si>
    <t>13.3%</t>
  </si>
  <si>
    <t>ICI4344-01</t>
  </si>
  <si>
    <t>5.6%</t>
  </si>
  <si>
    <t>12.9%</t>
  </si>
  <si>
    <t>INF2121-01</t>
  </si>
  <si>
    <t>5.5%</t>
  </si>
  <si>
    <t>12.7%</t>
  </si>
  <si>
    <t>INF2121-02</t>
  </si>
  <si>
    <t>5.4%</t>
  </si>
  <si>
    <t>12.1%</t>
  </si>
  <si>
    <t>ICI2145-02</t>
  </si>
  <si>
    <t>5.2%</t>
  </si>
  <si>
    <t>11.9%</t>
  </si>
  <si>
    <t>ICI4150-01</t>
  </si>
  <si>
    <t>5.1%</t>
  </si>
  <si>
    <t>11.4%</t>
  </si>
  <si>
    <t>ICI3344-01</t>
  </si>
  <si>
    <t>10.9%</t>
  </si>
  <si>
    <t>ICI3344-02</t>
  </si>
  <si>
    <t>INF2121</t>
  </si>
  <si>
    <t>ICI6442-02</t>
  </si>
  <si>
    <t>INF1212</t>
  </si>
  <si>
    <t>10.6%</t>
  </si>
  <si>
    <t>INF3234-01</t>
  </si>
  <si>
    <t>INF1413</t>
  </si>
  <si>
    <t>10.5%</t>
  </si>
  <si>
    <t>INF4552-01</t>
  </si>
  <si>
    <t>ICI2145-01</t>
  </si>
  <si>
    <t>4.7%</t>
  </si>
  <si>
    <t>8.4%</t>
  </si>
  <si>
    <t>ICI5475-01</t>
  </si>
  <si>
    <t>4.6%</t>
  </si>
  <si>
    <t>ICI6441-01</t>
  </si>
  <si>
    <t>7.7%</t>
  </si>
  <si>
    <t>ICI1458-01</t>
  </si>
  <si>
    <t>7.4%</t>
  </si>
  <si>
    <t>ICI1458-03</t>
  </si>
  <si>
    <t>INF3233-01</t>
  </si>
  <si>
    <t>6.7%</t>
  </si>
  <si>
    <t>ICI2145-03</t>
  </si>
  <si>
    <t>4.5%</t>
  </si>
  <si>
    <t>ICI5441-01</t>
  </si>
  <si>
    <t>4.4%</t>
  </si>
  <si>
    <t>ICI6440-01</t>
  </si>
  <si>
    <t>4.3%</t>
  </si>
  <si>
    <t>ICI6442</t>
  </si>
  <si>
    <t>ICI1243-01</t>
  </si>
  <si>
    <t>4.2%</t>
  </si>
  <si>
    <t>5.3%</t>
  </si>
  <si>
    <t>ICI1243-02</t>
  </si>
  <si>
    <t>ICI1243-03</t>
  </si>
  <si>
    <t>INF2322-01</t>
  </si>
  <si>
    <t>INF4552</t>
  </si>
  <si>
    <t>INF2322-02</t>
  </si>
  <si>
    <t>ICI3245-01</t>
  </si>
  <si>
    <t>4.1%</t>
  </si>
  <si>
    <t>ICI6441</t>
  </si>
  <si>
    <t>ICI3245-03</t>
  </si>
  <si>
    <t>INF3233</t>
  </si>
  <si>
    <t>ICI3244-01</t>
  </si>
  <si>
    <t>ICI3244-02</t>
  </si>
  <si>
    <t>ICI6440</t>
  </si>
  <si>
    <t>ICI3244-03</t>
  </si>
  <si>
    <t>ICI5545-01</t>
  </si>
  <si>
    <t>INF3235-01</t>
  </si>
  <si>
    <t>ICI1242-01</t>
  </si>
  <si>
    <t>ICI5247-01</t>
  </si>
  <si>
    <t>3.9%</t>
  </si>
  <si>
    <t>ICI4244-01</t>
  </si>
  <si>
    <t>INF4353</t>
  </si>
  <si>
    <t>3.8%</t>
  </si>
  <si>
    <t>ICI4244-02</t>
  </si>
  <si>
    <t>3.5%</t>
  </si>
  <si>
    <t>INF1214-01</t>
  </si>
  <si>
    <t>INF4457</t>
  </si>
  <si>
    <t>3.4%</t>
  </si>
  <si>
    <t>ICI1458-02</t>
  </si>
  <si>
    <t>3.3%</t>
  </si>
  <si>
    <t>ICI2240-01</t>
  </si>
  <si>
    <t>3.2%</t>
  </si>
  <si>
    <t>ICI3240-03</t>
  </si>
  <si>
    <t>2.8%</t>
  </si>
  <si>
    <t>INF4353-01</t>
  </si>
  <si>
    <t>2.5%</t>
  </si>
  <si>
    <t>INF1413-01</t>
  </si>
  <si>
    <t>3.7%</t>
  </si>
  <si>
    <t>ICI3240-01</t>
  </si>
  <si>
    <t>3.6%</t>
  </si>
  <si>
    <t>ICI5240</t>
  </si>
  <si>
    <t>ICI3245-02</t>
  </si>
  <si>
    <t>1.7%</t>
  </si>
  <si>
    <t>ICD1341-01</t>
  </si>
  <si>
    <t>1.5%</t>
  </si>
  <si>
    <t>ICI3240-02</t>
  </si>
  <si>
    <t>INF1212-01</t>
  </si>
  <si>
    <t>INF1212-02</t>
  </si>
  <si>
    <t>1.4%</t>
  </si>
  <si>
    <t>INF1212-03</t>
  </si>
  <si>
    <t>1.3%</t>
  </si>
  <si>
    <t>INF1413-02</t>
  </si>
  <si>
    <t>1.2%</t>
  </si>
  <si>
    <t>INF4457-01</t>
  </si>
  <si>
    <t>1.1%</t>
  </si>
  <si>
    <t>ICI1241-01</t>
  </si>
  <si>
    <t>INF3340</t>
  </si>
  <si>
    <t>ICI1241-02</t>
  </si>
  <si>
    <t>0.8%</t>
  </si>
  <si>
    <t>INF1413-03</t>
  </si>
  <si>
    <t>0.7%</t>
  </si>
  <si>
    <t>INF3132-01</t>
  </si>
  <si>
    <t>0.6%</t>
  </si>
  <si>
    <t>INF3132-02</t>
  </si>
  <si>
    <t>ICD1401-01</t>
  </si>
  <si>
    <t>0.5%</t>
  </si>
  <si>
    <t>ICI1241-03</t>
  </si>
  <si>
    <t>ICI5440</t>
  </si>
  <si>
    <t>0.4%</t>
  </si>
  <si>
    <t>ICI1241-04</t>
  </si>
  <si>
    <t>INF3144</t>
  </si>
  <si>
    <t>0.3%</t>
  </si>
  <si>
    <t>ICD1140-01</t>
  </si>
  <si>
    <t>0.2%</t>
  </si>
  <si>
    <t>ICI5442-01</t>
  </si>
  <si>
    <t>ICI5442-02</t>
  </si>
  <si>
    <t>INF1211-01</t>
  </si>
  <si>
    <t>INF1211-02</t>
  </si>
  <si>
    <t>ICI5542-01</t>
  </si>
  <si>
    <t>INF1211-04</t>
  </si>
  <si>
    <t>ICI4151-01</t>
  </si>
  <si>
    <t>INF2223-01</t>
  </si>
  <si>
    <t>ICI4151-02</t>
  </si>
  <si>
    <t>2.6%</t>
  </si>
  <si>
    <t>INF2223-02</t>
  </si>
  <si>
    <t>Top pares de choque (paralelos)</t>
  </si>
  <si>
    <t>Ocurr</t>
  </si>
  <si>
    <t>Alum ambos (par)</t>
  </si>
  <si>
    <t>% afec/total izq</t>
  </si>
  <si>
    <t>% afec/total der</t>
  </si>
  <si>
    <t>Bloques</t>
  </si>
  <si>
    <t>ICI4150-01 vs ICI5545-01</t>
  </si>
  <si>
    <t>13.6%</t>
  </si>
  <si>
    <t>Mi 11 - 12</t>
  </si>
  <si>
    <t>ICD3148-01 vs ICD4359-01</t>
  </si>
  <si>
    <t>30.8%</t>
  </si>
  <si>
    <t>Lu 3 - 4, Mi 11 - 12</t>
  </si>
  <si>
    <t>ICI5240-01 vs ICI5540-01</t>
  </si>
  <si>
    <t>30.4%</t>
  </si>
  <si>
    <t>46.7%</t>
  </si>
  <si>
    <t>Lu 3 - 4</t>
  </si>
  <si>
    <t>ICD5465-01 vs ICD5468-01</t>
  </si>
  <si>
    <t>Mi 13 - 14</t>
  </si>
  <si>
    <t>ICD2243-01 vs ICD3350-01</t>
  </si>
  <si>
    <t>38.9%</t>
  </si>
  <si>
    <t>Ju 9 - 10</t>
  </si>
  <si>
    <t>ICI3245-02 vs ICI5442-02</t>
  </si>
  <si>
    <t>14.3%</t>
  </si>
  <si>
    <t>17.1%</t>
  </si>
  <si>
    <t>Ju 5 - 6</t>
  </si>
  <si>
    <t>ICI4247-01 vs ICI5442-01</t>
  </si>
  <si>
    <t>5.9%</t>
  </si>
  <si>
    <t>Ma 3 - 4</t>
  </si>
  <si>
    <t>ICD4359-01 vs ICD5468-01</t>
  </si>
  <si>
    <t>38.5%</t>
  </si>
  <si>
    <t>35.7%</t>
  </si>
  <si>
    <t>Vi 13 - 14</t>
  </si>
  <si>
    <t>ICI4344-01 vs ICI5442-02</t>
  </si>
  <si>
    <t>6.2%</t>
  </si>
  <si>
    <t>Lu 11 - 12</t>
  </si>
  <si>
    <t>ICI5540-01 vs ICI6441-01</t>
  </si>
  <si>
    <t>26.7%</t>
  </si>
  <si>
    <t>Ju 13 - 14</t>
  </si>
  <si>
    <t>ICI5240-01 vs ICI5440-01</t>
  </si>
  <si>
    <t>Ma 7 - 8</t>
  </si>
  <si>
    <t>ICD4157-01 vs ICD5366-01</t>
  </si>
  <si>
    <t>33.3%</t>
  </si>
  <si>
    <t>Ju 7 - 8</t>
  </si>
  <si>
    <t>INF3132-01 vs INF4457-01</t>
  </si>
  <si>
    <t>7.5%</t>
  </si>
  <si>
    <t>Vi 7 - 8</t>
  </si>
  <si>
    <t>ICI3244-01 vs ICI5442-02</t>
  </si>
  <si>
    <t>5.7%</t>
  </si>
  <si>
    <t>INF3132-02 vs INF4457-01</t>
  </si>
  <si>
    <t>Lu 7 - 8</t>
  </si>
  <si>
    <t>INF2322-01 vs INF3233-01</t>
  </si>
  <si>
    <t>Ma 11 - 12</t>
  </si>
  <si>
    <t>ICI4244-01 vs ICI5247-01</t>
  </si>
  <si>
    <t>2.2%</t>
  </si>
  <si>
    <t>Ma 9 - 10</t>
  </si>
  <si>
    <t>ICI2145-03 vs ICI3240-02</t>
  </si>
  <si>
    <t>1.9%</t>
  </si>
  <si>
    <t>2.4%</t>
  </si>
  <si>
    <t>Ju 1 - 2</t>
  </si>
  <si>
    <t>ICI3245-02 vs ICI5442-01</t>
  </si>
  <si>
    <t>2.9%</t>
  </si>
  <si>
    <t>ICI3240-02 vs ICI5440-01</t>
  </si>
  <si>
    <t>Lu 13 - 14</t>
  </si>
  <si>
    <t>Top pares de choque (asignaturas)</t>
  </si>
  <si>
    <t>Alum ambos (asig)</t>
  </si>
  <si>
    <t>ICI4150 vs ICI5545</t>
  </si>
  <si>
    <t>ICD3148 vs ICD4359</t>
  </si>
  <si>
    <t>ICI5240 vs ICI5540</t>
  </si>
  <si>
    <t>ICI3245 vs ICI5442</t>
  </si>
  <si>
    <t>ICD5465 vs ICD5468</t>
  </si>
  <si>
    <t>ICD2243 vs ICD3350</t>
  </si>
  <si>
    <t>ICI4247 vs ICI5442</t>
  </si>
  <si>
    <t>7.1%</t>
  </si>
  <si>
    <t>ICD4359 vs ICD5468</t>
  </si>
  <si>
    <t>INF3132 vs INF4457</t>
  </si>
  <si>
    <t>6.4%</t>
  </si>
  <si>
    <t>12.5%</t>
  </si>
  <si>
    <t>Vi 7 - 8, Lu 7 - 8</t>
  </si>
  <si>
    <t>ICI4344 vs ICI5442</t>
  </si>
  <si>
    <t>ICI5540 vs ICI6441</t>
  </si>
  <si>
    <t>ICI5240 vs ICI5440</t>
  </si>
  <si>
    <t>ICD4157 vs ICD5366</t>
  </si>
  <si>
    <t>ICI3244 vs ICI5442</t>
  </si>
  <si>
    <t>INF2322 vs INF3233</t>
  </si>
  <si>
    <t>ICI4244 vs ICI5247</t>
  </si>
  <si>
    <t>ICI2145 vs ICI3240</t>
  </si>
  <si>
    <t>ICI3240 vs ICI5440</t>
  </si>
  <si>
    <t>ICD1342 vs ICD2243</t>
  </si>
  <si>
    <t>ICD4157 vs INF4353</t>
  </si>
  <si>
    <t>16.7%</t>
  </si>
  <si>
    <t>2.3%</t>
  </si>
  <si>
    <t>Top asignaturas por ventanas (estimado)</t>
  </si>
  <si>
    <t>Ventanas</t>
  </si>
  <si>
    <t>Top asignaturas por choques (dup)</t>
  </si>
  <si>
    <t>Top paralelos por ventanas (estimado)</t>
  </si>
  <si>
    <t>Top paralelos por choques (dup)</t>
  </si>
  <si>
    <t>ICD4359-01</t>
  </si>
  <si>
    <t>ICD5468-01</t>
  </si>
  <si>
    <t>ICI5540-01</t>
  </si>
  <si>
    <t>ICI5240-01</t>
  </si>
  <si>
    <t>ICD3148-01</t>
  </si>
  <si>
    <t>ICD2243-01</t>
  </si>
  <si>
    <t>ICD5465-01</t>
  </si>
  <si>
    <t>ICD3350-01</t>
  </si>
  <si>
    <t>Tierlist desbalance (CV desc)</t>
  </si>
  <si>
    <t>#Par</t>
  </si>
  <si>
    <t>Total</t>
  </si>
  <si>
    <t>Media</t>
  </si>
  <si>
    <t>Sigma</t>
  </si>
  <si>
    <t>CV</t>
  </si>
  <si>
    <t>Paralelos (ocupación)</t>
  </si>
  <si>
    <t>ICI6442-01:5, ICI6442-02:58</t>
  </si>
  <si>
    <t>ICI2240-01:44, ICI2240-02:27, ICI2240-03:27, ICI2240-01:44, ICI2240-02:27, ICI2240-03:27</t>
  </si>
  <si>
    <t>ICI4151-01:32, ICI4151-02:30, ICI4151-03:24</t>
  </si>
  <si>
    <t>ICI1458-01:53, ICI1458-02:44, ICI1458-03:53</t>
  </si>
  <si>
    <t>INF1211-01:35, INF1211-02:35, INF1211-03:29, INF1211-04:33</t>
  </si>
  <si>
    <t>ICI2145-01:55, ICI2145-02:61, ICI2145-03:52</t>
  </si>
  <si>
    <t>ICI3245-01:48, ICI3245-02:42, ICI3245-03:48</t>
  </si>
  <si>
    <t>INF1413-01:43, INF1413-02:40, INF1413-03:39</t>
  </si>
  <si>
    <t>INF2223-01:32, INF2223-02:30</t>
  </si>
  <si>
    <t>ICI3240-01:42, ICI3240-02:41, ICI3240-03:44</t>
  </si>
  <si>
    <t>ICI1241-01:39, ICI1241-02:39, ICI1241-03:38, ICI1241-04:38</t>
  </si>
  <si>
    <t>INF2121-01:64, INF2121-02:63</t>
  </si>
  <si>
    <t>ICI1243-01:49, ICI1243-02:49, ICI1243-03:49</t>
  </si>
  <si>
    <t>ICI3244-01:47, ICI3244-02:47, ICI3244-03:47</t>
  </si>
  <si>
    <t>ICI3344-01:58, ICI3344-02:58</t>
  </si>
  <si>
    <t>ICI4244-01:45, ICI4244-02:45</t>
  </si>
  <si>
    <t>ICI5442-01:35, ICI5442-02:35</t>
  </si>
  <si>
    <t>INF1212-01:41, INF1212-02:41, INF1212-03:41</t>
  </si>
  <si>
    <t>INF2322-01:49, INF2322-02:49</t>
  </si>
  <si>
    <t>INF3132-01:39, INF3132-02:39</t>
  </si>
  <si>
    <t>Panel Detalle (DFS puro sin búsqueda local)</t>
  </si>
  <si>
    <t>13.9%</t>
  </si>
  <si>
    <t>17.3%</t>
  </si>
  <si>
    <t>26.9%</t>
  </si>
  <si>
    <t>35.6%</t>
  </si>
  <si>
    <t>42.3%</t>
  </si>
  <si>
    <t>52.8%</t>
  </si>
  <si>
    <t>59.1%</t>
  </si>
  <si>
    <t>67.3%</t>
  </si>
  <si>
    <t>76.8%</t>
  </si>
  <si>
    <t>82.6%</t>
  </si>
  <si>
    <t>86.1%</t>
  </si>
  <si>
    <t>92.9%</t>
  </si>
  <si>
    <t>95.6%</t>
  </si>
  <si>
    <t>96.6%</t>
  </si>
  <si>
    <t>99.3%</t>
  </si>
  <si>
    <t>99.5%</t>
  </si>
  <si>
    <t>4.9%</t>
  </si>
  <si>
    <t>3.1%</t>
  </si>
  <si>
    <t>ICI2240-02</t>
  </si>
  <si>
    <t>ICI2240-03</t>
  </si>
  <si>
    <t>ICI6442-01</t>
  </si>
  <si>
    <t>2.7%</t>
  </si>
  <si>
    <t>INF1211-03</t>
  </si>
  <si>
    <t>ICI3244-02 vs ICI3245-01</t>
  </si>
  <si>
    <t>8.5%</t>
  </si>
  <si>
    <t>10.3%</t>
  </si>
  <si>
    <t>8.6%</t>
  </si>
  <si>
    <t>ICI3244-02 vs ICI3245-03</t>
  </si>
  <si>
    <t>ICI2240-02 vs ICI3244-02</t>
  </si>
  <si>
    <t>1.8%</t>
  </si>
  <si>
    <t>ICD1342-01 vs ICD2243-01</t>
  </si>
  <si>
    <t>ICI3244 vs ICI3245</t>
  </si>
  <si>
    <t>2.1%</t>
  </si>
  <si>
    <t>ICI2240 vs ICI3244</t>
  </si>
  <si>
    <t>ICI3244-01:42, ICI3244-02:57, ICI3244-03:42</t>
  </si>
  <si>
    <t>INF1211-01:37, INF1211-02:36, INF1211-03:30, INF1211-04:29</t>
  </si>
  <si>
    <t>ICI3245-01:47, ICI3245-02:46, ICI3245-03:45</t>
  </si>
  <si>
    <t>ICI4151-01:29, ICI4151-02:29, ICI4151-03:28</t>
  </si>
  <si>
    <t>ICI6442-01:32, ICI6442-02:31</t>
  </si>
  <si>
    <t>ICI2240-01:33, ICI2240-02:33, ICI2240-03:32, ICI2240-01:33, ICI2240-02:33, ICI2240-03:32</t>
  </si>
  <si>
    <t>ICI1241-01:39, ICI1241-02:38, ICI1241-03:39, ICI1241-04:38</t>
  </si>
  <si>
    <t>INF1413-01:41, INF1413-02:41, INF1413-03:40</t>
  </si>
  <si>
    <t>ICI3240-01:42, ICI3240-02:43, ICI3240-03:42</t>
  </si>
  <si>
    <t>ICI1458-01:50, ICI1458-02:50, ICI1458-03:50</t>
  </si>
  <si>
    <t>ICI2145-01:56, ICI2145-02:56, ICI2145-03:56</t>
  </si>
  <si>
    <t>Comparativa Tierlist Desbalance</t>
  </si>
  <si>
    <t>Asignatura</t>
  </si>
  <si>
    <t>CV (optimizada)</t>
  </si>
  <si>
    <t>ocupación (optimizada)</t>
  </si>
  <si>
    <t>CV (solo DFS)</t>
  </si>
  <si>
    <t>ocupación (solo DFS)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</si>
</sst>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Roboto"/>
    </font>
    <font>
      <sz val="11.0"/>
      <color rgb="FFF6F8F9"/>
      <name val="Roboto"/>
    </font>
    <font>
      <sz val="11.0"/>
      <color rgb="FF4E4A47"/>
      <name val="Roboto"/>
    </font>
    <font>
      <b/>
      <sz val="11.0"/>
      <color rgb="FF0000FF"/>
      <name val="Roboto"/>
    </font>
    <font>
      <sz val="11.0"/>
      <color rgb="FF434343"/>
      <name val="Roboto"/>
    </font>
    <font>
      <b/>
      <sz val="11.0"/>
      <color rgb="FFFF0000"/>
      <name val="Roboto"/>
    </font>
    <font>
      <i/>
      <sz val="11.0"/>
      <color theme="1"/>
      <name val="Roboto"/>
    </font>
    <font>
      <sz val="11.0"/>
      <color rgb="FF000000"/>
      <name val="Roboto"/>
    </font>
    <font>
      <b/>
      <sz val="11.0"/>
      <color rgb="FF4E4A47"/>
      <name val="Roboto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u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EFEDED"/>
        <bgColor rgb="FFEFEDED"/>
      </patternFill>
    </fill>
    <fill>
      <patternFill patternType="solid">
        <fgColor rgb="FFF9FAFB"/>
        <bgColor rgb="FFF9FAFB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93C5FD"/>
        <bgColor rgb="FF93C5FD"/>
      </patternFill>
    </fill>
    <fill>
      <patternFill patternType="solid">
        <fgColor rgb="FFFCA5A5"/>
        <bgColor rgb="FFFCA5A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49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5" numFmtId="2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2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5" fontId="10" numFmtId="0" xfId="0" applyAlignment="1" applyFill="1" applyFont="1">
      <alignment readingOrder="0"/>
    </xf>
    <xf borderId="0" fillId="5" fontId="11" numFmtId="0" xfId="0" applyAlignment="1" applyFont="1">
      <alignment readingOrder="0"/>
    </xf>
    <xf borderId="6" fillId="6" fontId="10" numFmtId="0" xfId="0" applyAlignment="1" applyBorder="1" applyFill="1" applyFont="1">
      <alignment horizontal="center" readingOrder="0" vertical="center"/>
    </xf>
    <xf borderId="6" fillId="7" fontId="10" numFmtId="49" xfId="0" applyAlignment="1" applyBorder="1" applyFill="1" applyFont="1" applyNumberFormat="1">
      <alignment horizontal="center" readingOrder="0"/>
    </xf>
    <xf borderId="6" fillId="8" fontId="11" numFmtId="0" xfId="0" applyAlignment="1" applyBorder="1" applyFill="1" applyFont="1">
      <alignment horizontal="center"/>
    </xf>
    <xf borderId="6" fillId="9" fontId="11" numFmtId="0" xfId="0" applyAlignment="1" applyBorder="1" applyFill="1" applyFont="1">
      <alignment horizontal="center"/>
    </xf>
    <xf borderId="6" fillId="6" fontId="10" numFmtId="0" xfId="0" applyAlignment="1" applyBorder="1" applyFont="1">
      <alignment horizontal="left" readingOrder="0" vertical="center"/>
    </xf>
    <xf borderId="6" fillId="10" fontId="11" numFmtId="0" xfId="0" applyAlignment="1" applyBorder="1" applyFill="1" applyFont="1">
      <alignment horizontal="left" shrinkToFit="0" vertical="top" wrapText="1"/>
    </xf>
    <xf borderId="6" fillId="5" fontId="11" numFmtId="0" xfId="0" applyAlignment="1" applyBorder="1" applyFont="1">
      <alignment horizontal="left" shrinkToFit="0" vertical="top" wrapText="1"/>
    </xf>
    <xf borderId="6" fillId="10" fontId="11" numFmtId="0" xfId="0" applyAlignment="1" applyBorder="1" applyFont="1">
      <alignment horizontal="left" readingOrder="0" shrinkToFit="0" vertical="top" wrapText="1"/>
    </xf>
    <xf borderId="6" fillId="5" fontId="11" numFmtId="0" xfId="0" applyAlignment="1" applyBorder="1" applyFont="1">
      <alignment horizontal="left" readingOrder="0" shrinkToFit="0" vertical="top" wrapText="1"/>
    </xf>
    <xf borderId="6" fillId="6" fontId="10" numFmtId="49" xfId="0" applyAlignment="1" applyBorder="1" applyFont="1" applyNumberFormat="1">
      <alignment horizontal="center" readingOrder="0" shrinkToFit="0" vertical="center" wrapText="1"/>
    </xf>
    <xf borderId="7" fillId="6" fontId="10" numFmtId="49" xfId="0" applyAlignment="1" applyBorder="1" applyFont="1" applyNumberFormat="1">
      <alignment horizontal="center" readingOrder="0" shrinkToFit="0" vertical="center" wrapText="1"/>
    </xf>
    <xf borderId="8" fillId="6" fontId="10" numFmtId="49" xfId="0" applyAlignment="1" applyBorder="1" applyFont="1" applyNumberFormat="1">
      <alignment horizontal="center" readingOrder="0" shrinkToFit="0" vertical="center" wrapText="1"/>
    </xf>
    <xf borderId="6" fillId="7" fontId="10" numFmtId="49" xfId="0" applyAlignment="1" applyBorder="1" applyFont="1" applyNumberFormat="1">
      <alignment horizontal="center" readingOrder="0" shrinkToFit="0" wrapText="0"/>
    </xf>
    <xf borderId="6" fillId="10" fontId="11" numFmtId="49" xfId="0" applyAlignment="1" applyBorder="1" applyFont="1" applyNumberFormat="1">
      <alignment readingOrder="0" shrinkToFit="0" wrapText="1"/>
    </xf>
    <xf borderId="6" fillId="10" fontId="11" numFmtId="49" xfId="0" applyAlignment="1" applyBorder="1" applyFont="1" applyNumberFormat="1">
      <alignment shrinkToFit="0" wrapText="1"/>
    </xf>
    <xf borderId="7" fillId="10" fontId="11" numFmtId="49" xfId="0" applyAlignment="1" applyBorder="1" applyFont="1" applyNumberFormat="1">
      <alignment shrinkToFit="0" wrapText="1"/>
    </xf>
    <xf borderId="8" fillId="10" fontId="11" numFmtId="49" xfId="0" applyAlignment="1" applyBorder="1" applyFont="1" applyNumberFormat="1">
      <alignment readingOrder="0" shrinkToFit="0" wrapText="1"/>
    </xf>
    <xf borderId="8" fillId="10" fontId="11" numFmtId="49" xfId="0" applyAlignment="1" applyBorder="1" applyFont="1" applyNumberFormat="1">
      <alignment shrinkToFit="0" wrapText="1"/>
    </xf>
    <xf borderId="6" fillId="5" fontId="11" numFmtId="49" xfId="0" applyAlignment="1" applyBorder="1" applyFont="1" applyNumberFormat="1">
      <alignment readingOrder="0" shrinkToFit="0" wrapText="1"/>
    </xf>
    <xf borderId="6" fillId="5" fontId="11" numFmtId="49" xfId="0" applyAlignment="1" applyBorder="1" applyFont="1" applyNumberFormat="1">
      <alignment shrinkToFit="0" wrapText="1"/>
    </xf>
    <xf borderId="7" fillId="5" fontId="11" numFmtId="49" xfId="0" applyAlignment="1" applyBorder="1" applyFont="1" applyNumberFormat="1">
      <alignment shrinkToFit="0" wrapText="1"/>
    </xf>
    <xf borderId="8" fillId="5" fontId="11" numFmtId="49" xfId="0" applyAlignment="1" applyBorder="1" applyFont="1" applyNumberFormat="1">
      <alignment readingOrder="0" shrinkToFit="0" wrapText="1"/>
    </xf>
    <xf borderId="8" fillId="5" fontId="11" numFmtId="49" xfId="0" applyAlignment="1" applyBorder="1" applyFont="1" applyNumberFormat="1">
      <alignment shrinkToFit="0" wrapText="1"/>
    </xf>
    <xf borderId="6" fillId="6" fontId="10" numFmtId="49" xfId="0" applyAlignment="1" applyBorder="1" applyFont="1" applyNumberFormat="1">
      <alignment horizontal="center" readingOrder="0" vertical="center"/>
    </xf>
    <xf borderId="6" fillId="10" fontId="11" numFmtId="49" xfId="0" applyAlignment="1" applyBorder="1" applyFont="1" applyNumberFormat="1">
      <alignment horizontal="left" readingOrder="0" shrinkToFit="0" vertical="top" wrapText="1"/>
    </xf>
    <xf borderId="6" fillId="5" fontId="11" numFmtId="49" xfId="0" applyAlignment="1" applyBorder="1" applyFont="1" applyNumberFormat="1">
      <alignment horizontal="left" readingOrder="0" shrinkToFit="0" vertical="top" wrapText="1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right"/>
    </xf>
    <xf borderId="0" fillId="11" fontId="12" numFmtId="0" xfId="0" applyAlignment="1" applyFill="1" applyFont="1">
      <alignment horizontal="center" vertical="bottom"/>
    </xf>
    <xf borderId="0" fillId="0" fontId="11" numFmtId="14" xfId="0" applyAlignment="1" applyFont="1" applyNumberFormat="1">
      <alignment horizontal="right" readingOrder="0"/>
    </xf>
    <xf borderId="0" fillId="0" fontId="11" numFmtId="0" xfId="0" applyAlignment="1" applyFont="1">
      <alignment horizontal="right" readingOrder="0"/>
    </xf>
    <xf borderId="0" fillId="12" fontId="13" numFmtId="0" xfId="0" applyAlignment="1" applyFill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1" numFmtId="10" xfId="0" applyAlignment="1" applyFont="1" applyNumberFormat="1">
      <alignment horizontal="right" readingOrder="0"/>
    </xf>
    <xf borderId="0" fillId="0" fontId="13" numFmtId="0" xfId="0" applyAlignment="1" applyFont="1">
      <alignment horizontal="right" readingOrder="0" vertical="bottom"/>
    </xf>
    <xf borderId="0" fillId="0" fontId="11" numFmtId="9" xfId="0" applyAlignment="1" applyFont="1" applyNumberFormat="1">
      <alignment horizontal="right" readingOrder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4" pivot="0" name="MALL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26" displayName="Mallas" name="Mallas" id="1">
  <autoFilter ref="$A$1:$R$226"/>
  <tableColumns count="18">
    <tableColumn name="Clave" id="1"/>
    <tableColumn name="Nombre Asignatura" id="2"/>
    <tableColumn name="Cr." id="3"/>
    <tableColumn name="SCT" id="4"/>
    <tableColumn name="Pre-requisitos" id="5"/>
    <tableColumn name="Semestre" id="6"/>
    <tableColumn name="Homologaciones" id="7"/>
    <tableColumn name="SeDicta?" id="8"/>
    <tableColumn name="Se Dicta Homologable?" id="9"/>
    <tableColumn name="Carrera" id="10"/>
    <tableColumn name="curs" id="11"/>
    <tableColumn name="max" id="12"/>
    <tableColumn name="prob_aprob" id="13"/>
    <tableColumn name="max 2" id="14"/>
    <tableColumn name="CÁTEDRA" id="15"/>
    <tableColumn name="AYUDANTIA" id="16"/>
    <tableColumn name="TALLER" id="17"/>
    <tableColumn name="LABORATORIO" id="18"/>
  </tableColumns>
  <tableStyleInfo name="MAL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lert-carob-16c.notion.site/INFORME_PANEL_DETALLE-366abb7e71a9804995d7f88c3b31a4d7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41.13"/>
    <col customWidth="1" hidden="1" min="3" max="4" width="10.75"/>
    <col customWidth="1" min="5" max="5" width="21.5"/>
    <col customWidth="1" min="6" max="6" width="12.63"/>
    <col customWidth="1" min="7" max="7" width="40.25"/>
    <col customWidth="1" min="8" max="8" width="14.13"/>
    <col customWidth="1" min="9" max="9" width="17.75"/>
    <col customWidth="1" min="10" max="10" width="10.5"/>
    <col customWidth="1" min="11" max="11" width="11.88"/>
    <col customWidth="1" min="12" max="12" width="10.75"/>
    <col customWidth="1" min="13" max="13" width="14.25"/>
    <col customWidth="1" min="14" max="14" width="10.38"/>
    <col customWidth="1" min="15" max="15" width="11.75"/>
    <col customWidth="1" min="16" max="16" width="12.63"/>
    <col customWidth="1" min="17" max="17" width="12.0"/>
    <col customWidth="1" min="18" max="18" width="15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1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6" t="s">
        <v>16</v>
      </c>
      <c r="R1" s="6" t="s">
        <v>17</v>
      </c>
    </row>
    <row r="2" ht="22.5" customHeight="1">
      <c r="A2" s="7" t="s">
        <v>18</v>
      </c>
      <c r="B2" s="7" t="s">
        <v>19</v>
      </c>
      <c r="C2" s="1">
        <v>2.0</v>
      </c>
      <c r="D2" s="1">
        <f t="shared" ref="D2:D101" si="1">C2*1.5</f>
        <v>3</v>
      </c>
      <c r="E2" s="8"/>
      <c r="F2" s="1">
        <v>1.0</v>
      </c>
      <c r="G2" s="9" t="s">
        <v>20</v>
      </c>
      <c r="H2" s="1" t="str">
        <f t="shared" ref="H2:H226" si="2">if(IFERROR(VLOOKUP(A2,'Asignaturas2026-2'!B:B,1,False),"")&lt;&gt;"","SI",IF(I2&lt;&gt;"","HOM",""))</f>
        <v>#REF!</v>
      </c>
      <c r="I2" s="10" t="str">
        <f>IFERROR(__xludf.DUMMYFUNCTION("if(or(L2=0),"""",IFERROR(TEXTJOIN("", "",
  TRUE,
  FILTER(
    TRIM(SPLIT(G2, "","")),
    MAP(
      TRIM(SPLIT(G2, "","")),
      LAMBDA(clave,
        COUNTIF('Asignaturas2026-2'!B:B, clave )&gt;0
      )
    )
  )
)))"),"#REF!")</f>
        <v>#REF!</v>
      </c>
      <c r="J2" s="11" t="s">
        <v>21</v>
      </c>
      <c r="K2" s="6" t="str">
        <f t="shared" ref="K2:K226" si="3">COUNTIF(ALUMNOS!D:D,"*"&amp;A2&amp;"*")</f>
        <v>#REF!</v>
      </c>
      <c r="L2" s="6" t="str">
        <f t="shared" ref="L2:L226" si="4">COUNTIF(ALUMNOS!E:E,"*"&amp;A2&amp;"*")</f>
        <v>#REF!</v>
      </c>
      <c r="M2" s="12">
        <v>0.92</v>
      </c>
      <c r="N2" s="6">
        <v>50.0</v>
      </c>
      <c r="O2" s="6">
        <v>2.0</v>
      </c>
      <c r="P2" s="6">
        <v>0.0</v>
      </c>
      <c r="Q2" s="6">
        <v>0.0</v>
      </c>
      <c r="R2" s="6">
        <v>0.0</v>
      </c>
    </row>
    <row r="3" ht="22.5" customHeight="1">
      <c r="A3" s="7" t="s">
        <v>22</v>
      </c>
      <c r="B3" s="7" t="s">
        <v>23</v>
      </c>
      <c r="C3" s="1">
        <v>4.0</v>
      </c>
      <c r="D3" s="1">
        <f t="shared" si="1"/>
        <v>6</v>
      </c>
      <c r="E3" s="8"/>
      <c r="F3" s="1">
        <v>1.0</v>
      </c>
      <c r="G3" s="9" t="s">
        <v>24</v>
      </c>
      <c r="H3" s="1" t="str">
        <f t="shared" si="2"/>
        <v>#REF!</v>
      </c>
      <c r="I3" s="10" t="str">
        <f>IFERROR(__xludf.DUMMYFUNCTION("if(or(L3=0),"""",IFERROR(TEXTJOIN("", "",
  TRUE,
  FILTER(
    TRIM(SPLIT(G3, "","")),
    MAP(
      TRIM(SPLIT(G3, "","")),
      LAMBDA(clave,
        COUNTIF('Asignaturas2026-2'!B:B, clave )&gt;0
      )
    )
  )
)))"),"#REF!")</f>
        <v>#REF!</v>
      </c>
      <c r="J3" s="11" t="s">
        <v>21</v>
      </c>
      <c r="K3" s="6" t="str">
        <f t="shared" si="3"/>
        <v>#REF!</v>
      </c>
      <c r="L3" s="6" t="str">
        <f t="shared" si="4"/>
        <v>#REF!</v>
      </c>
      <c r="M3" s="12">
        <v>0.5</v>
      </c>
      <c r="N3" s="6">
        <v>27.0</v>
      </c>
      <c r="O3" s="6">
        <v>4.0</v>
      </c>
      <c r="P3" s="6">
        <v>2.0</v>
      </c>
      <c r="Q3" s="6">
        <v>0.0</v>
      </c>
      <c r="R3" s="6">
        <v>0.0</v>
      </c>
    </row>
    <row r="4" ht="22.5" customHeight="1">
      <c r="A4" s="7" t="s">
        <v>25</v>
      </c>
      <c r="B4" s="7" t="s">
        <v>26</v>
      </c>
      <c r="C4" s="1">
        <v>6.0</v>
      </c>
      <c r="D4" s="1">
        <f t="shared" si="1"/>
        <v>9</v>
      </c>
      <c r="E4" s="8"/>
      <c r="F4" s="1">
        <v>1.0</v>
      </c>
      <c r="G4" s="9" t="s">
        <v>27</v>
      </c>
      <c r="H4" s="1" t="str">
        <f t="shared" si="2"/>
        <v>#REF!</v>
      </c>
      <c r="I4" s="10" t="str">
        <f>IFERROR(__xludf.DUMMYFUNCTION("if(or(L4=0),"""",IFERROR(TEXTJOIN("", "",
  TRUE,
  FILTER(
    TRIM(SPLIT(G4, "","")),
    MAP(
      TRIM(SPLIT(G4, "","")),
      LAMBDA(clave,
        COUNTIF('Asignaturas2026-2'!B:B, clave )&gt;0
      )
    )
  )
)))"),"#REF!")</f>
        <v>#REF!</v>
      </c>
      <c r="J4" s="11" t="s">
        <v>21</v>
      </c>
      <c r="K4" s="6" t="str">
        <f t="shared" si="3"/>
        <v>#REF!</v>
      </c>
      <c r="L4" s="6" t="str">
        <f t="shared" si="4"/>
        <v>#REF!</v>
      </c>
      <c r="M4" s="12">
        <v>1.0</v>
      </c>
      <c r="N4" s="6">
        <v>50.0</v>
      </c>
      <c r="O4" s="6">
        <v>4.0</v>
      </c>
      <c r="P4" s="6">
        <v>2.0</v>
      </c>
      <c r="Q4" s="6">
        <v>0.0</v>
      </c>
      <c r="R4" s="6">
        <v>0.0</v>
      </c>
    </row>
    <row r="5" ht="22.5" customHeight="1">
      <c r="A5" s="7" t="s">
        <v>28</v>
      </c>
      <c r="B5" s="7" t="s">
        <v>29</v>
      </c>
      <c r="C5" s="1">
        <v>6.0</v>
      </c>
      <c r="D5" s="1">
        <f t="shared" si="1"/>
        <v>9</v>
      </c>
      <c r="E5" s="8"/>
      <c r="F5" s="1">
        <v>1.0</v>
      </c>
      <c r="G5" s="9" t="s">
        <v>30</v>
      </c>
      <c r="H5" s="1" t="str">
        <f t="shared" si="2"/>
        <v>#REF!</v>
      </c>
      <c r="I5" s="10" t="str">
        <f>IFERROR(__xludf.DUMMYFUNCTION("if(or(L5=0),"""",IFERROR(TEXTJOIN("", "",
  TRUE,
  FILTER(
    TRIM(SPLIT(G5, "","")),
    MAP(
      TRIM(SPLIT(G5, "","")),
      LAMBDA(clave,
        COUNTIF('Asignaturas2026-2'!B:B, clave )&gt;0
      )
    )
  )
)))"),"#REF!")</f>
        <v>#REF!</v>
      </c>
      <c r="J5" s="11" t="s">
        <v>21</v>
      </c>
      <c r="K5" s="6" t="str">
        <f t="shared" si="3"/>
        <v>#REF!</v>
      </c>
      <c r="L5" s="6" t="str">
        <f t="shared" si="4"/>
        <v>#REF!</v>
      </c>
      <c r="M5" s="12">
        <v>0.57</v>
      </c>
      <c r="N5" s="6">
        <v>50.0</v>
      </c>
      <c r="O5" s="6">
        <v>6.0</v>
      </c>
      <c r="P5" s="6">
        <v>0.0</v>
      </c>
      <c r="Q5" s="6">
        <v>4.0</v>
      </c>
      <c r="R5" s="6">
        <v>0.0</v>
      </c>
    </row>
    <row r="6" ht="22.5" customHeight="1">
      <c r="A6" s="7" t="s">
        <v>31</v>
      </c>
      <c r="B6" s="7" t="s">
        <v>32</v>
      </c>
      <c r="C6" s="1">
        <v>3.0</v>
      </c>
      <c r="D6" s="1">
        <f t="shared" si="1"/>
        <v>4.5</v>
      </c>
      <c r="E6" s="8"/>
      <c r="F6" s="1">
        <v>2.0</v>
      </c>
      <c r="G6" s="9" t="s">
        <v>33</v>
      </c>
      <c r="H6" s="1" t="str">
        <f t="shared" si="2"/>
        <v>#REF!</v>
      </c>
      <c r="I6" s="10" t="str">
        <f>IFERROR(__xludf.DUMMYFUNCTION("if(or(L6=0),"""",IFERROR(TEXTJOIN("", "",
  TRUE,
  FILTER(
    TRIM(SPLIT(G6, "","")),
    MAP(
      TRIM(SPLIT(G6, "","")),
      LAMBDA(clave,
        COUNTIF('Asignaturas2026-2'!B:B, clave )&gt;0
      )
    )
  )
)))"),"#REF!")</f>
        <v>#REF!</v>
      </c>
      <c r="J6" s="11" t="s">
        <v>21</v>
      </c>
      <c r="K6" s="6" t="str">
        <f t="shared" si="3"/>
        <v>#REF!</v>
      </c>
      <c r="L6" s="6" t="str">
        <f t="shared" si="4"/>
        <v>#REF!</v>
      </c>
      <c r="M6" s="12">
        <v>1.0</v>
      </c>
      <c r="N6" s="6">
        <v>50.0</v>
      </c>
      <c r="O6" s="6">
        <v>2.0</v>
      </c>
      <c r="P6" s="6">
        <v>0.0</v>
      </c>
      <c r="Q6" s="13">
        <v>2.0</v>
      </c>
      <c r="R6" s="6">
        <v>0.0</v>
      </c>
    </row>
    <row r="7" ht="22.5" customHeight="1">
      <c r="A7" s="7" t="s">
        <v>34</v>
      </c>
      <c r="B7" s="7" t="s">
        <v>35</v>
      </c>
      <c r="C7" s="1">
        <v>4.0</v>
      </c>
      <c r="D7" s="1">
        <f t="shared" si="1"/>
        <v>6</v>
      </c>
      <c r="E7" s="1" t="s">
        <v>22</v>
      </c>
      <c r="F7" s="1">
        <v>2.0</v>
      </c>
      <c r="G7" s="9" t="s">
        <v>36</v>
      </c>
      <c r="H7" s="1" t="str">
        <f t="shared" si="2"/>
        <v>#REF!</v>
      </c>
      <c r="I7" s="10" t="str">
        <f>IFERROR(__xludf.DUMMYFUNCTION("if(or(L7=0),"""",IFERROR(TEXTJOIN("", "",
  TRUE,
  FILTER(
    TRIM(SPLIT(G7, "","")),
    MAP(
      TRIM(SPLIT(G7, "","")),
      LAMBDA(clave,
        COUNTIF('Asignaturas2026-2'!B:B, clave )&gt;0
      )
    )
  )
)))"),"#REF!")</f>
        <v>#REF!</v>
      </c>
      <c r="J7" s="11" t="s">
        <v>21</v>
      </c>
      <c r="K7" s="6" t="str">
        <f t="shared" si="3"/>
        <v>#REF!</v>
      </c>
      <c r="L7" s="6" t="str">
        <f t="shared" si="4"/>
        <v>#REF!</v>
      </c>
      <c r="M7" s="12">
        <v>0.31</v>
      </c>
      <c r="N7" s="6">
        <v>30.0</v>
      </c>
      <c r="O7" s="6">
        <v>4.0</v>
      </c>
      <c r="P7" s="6">
        <v>2.0</v>
      </c>
      <c r="Q7" s="6">
        <v>0.0</v>
      </c>
      <c r="R7" s="6">
        <v>0.0</v>
      </c>
    </row>
    <row r="8" ht="22.5" customHeight="1">
      <c r="A8" s="7" t="s">
        <v>37</v>
      </c>
      <c r="B8" s="7" t="s">
        <v>38</v>
      </c>
      <c r="C8" s="1">
        <v>6.0</v>
      </c>
      <c r="D8" s="1">
        <f t="shared" si="1"/>
        <v>9</v>
      </c>
      <c r="E8" s="1" t="s">
        <v>28</v>
      </c>
      <c r="F8" s="1">
        <v>2.0</v>
      </c>
      <c r="G8" s="9" t="s">
        <v>39</v>
      </c>
      <c r="H8" s="1" t="str">
        <f t="shared" si="2"/>
        <v>#REF!</v>
      </c>
      <c r="I8" s="10" t="str">
        <f>IFERROR(__xludf.DUMMYFUNCTION("if(or(L8=0),"""",IFERROR(TEXTJOIN("", "",
  TRUE,
  FILTER(
    TRIM(SPLIT(G8, "","")),
    MAP(
      TRIM(SPLIT(G8, "","")),
      LAMBDA(clave,
        COUNTIF('Asignaturas2026-2'!B:B, clave )&gt;0
      )
    )
  )
)))"),"#REF!")</f>
        <v>#REF!</v>
      </c>
      <c r="J8" s="11" t="s">
        <v>21</v>
      </c>
      <c r="K8" s="6" t="str">
        <f t="shared" si="3"/>
        <v>#REF!</v>
      </c>
      <c r="L8" s="6" t="str">
        <f t="shared" si="4"/>
        <v>#REF!</v>
      </c>
      <c r="M8" s="12">
        <v>0.25</v>
      </c>
      <c r="N8" s="6">
        <v>50.0</v>
      </c>
      <c r="O8" s="6">
        <v>6.0</v>
      </c>
      <c r="P8" s="6">
        <v>0.0</v>
      </c>
      <c r="Q8" s="6">
        <v>4.0</v>
      </c>
      <c r="R8" s="6">
        <v>0.0</v>
      </c>
    </row>
    <row r="9" ht="22.5" customHeight="1">
      <c r="A9" s="7" t="s">
        <v>40</v>
      </c>
      <c r="B9" s="7" t="s">
        <v>41</v>
      </c>
      <c r="C9" s="1">
        <v>4.0</v>
      </c>
      <c r="D9" s="1">
        <f t="shared" si="1"/>
        <v>6</v>
      </c>
      <c r="E9" s="1" t="s">
        <v>28</v>
      </c>
      <c r="F9" s="1">
        <v>2.0</v>
      </c>
      <c r="G9" s="9" t="s">
        <v>42</v>
      </c>
      <c r="H9" s="1" t="str">
        <f t="shared" si="2"/>
        <v>#REF!</v>
      </c>
      <c r="I9" s="10" t="str">
        <f>IFERROR(__xludf.DUMMYFUNCTION("if(or(L9=0),"""",IFERROR(TEXTJOIN("", "",
  TRUE,
  FILTER(
    TRIM(SPLIT(G9, "","")),
    MAP(
      TRIM(SPLIT(G9, "","")),
      LAMBDA(clave,
        COUNTIF('Asignaturas2026-2'!B:B, clave )&gt;0
      )
    )
  )
)))"),"#REF!")</f>
        <v>#REF!</v>
      </c>
      <c r="J9" s="11" t="s">
        <v>21</v>
      </c>
      <c r="K9" s="6" t="str">
        <f t="shared" si="3"/>
        <v>#REF!</v>
      </c>
      <c r="L9" s="6" t="str">
        <f t="shared" si="4"/>
        <v>#REF!</v>
      </c>
      <c r="M9" s="12">
        <v>0.25</v>
      </c>
      <c r="N9" s="6">
        <v>50.0</v>
      </c>
      <c r="O9" s="6">
        <v>4.0</v>
      </c>
      <c r="P9" s="6">
        <v>0.0</v>
      </c>
      <c r="Q9" s="6">
        <v>2.0</v>
      </c>
      <c r="R9" s="6">
        <v>0.0</v>
      </c>
    </row>
    <row r="10" ht="22.5" customHeight="1">
      <c r="A10" s="14" t="s">
        <v>43</v>
      </c>
      <c r="B10" s="15" t="s">
        <v>44</v>
      </c>
      <c r="C10" s="16">
        <v>2.0</v>
      </c>
      <c r="D10" s="16">
        <f t="shared" si="1"/>
        <v>3</v>
      </c>
      <c r="E10" s="17"/>
      <c r="F10" s="18">
        <v>3.0</v>
      </c>
      <c r="G10" s="19" t="s">
        <v>44</v>
      </c>
      <c r="H10" s="1" t="str">
        <f t="shared" si="2"/>
        <v>#REF!</v>
      </c>
      <c r="I10" s="10" t="str">
        <f>IFERROR(__xludf.DUMMYFUNCTION("if(or(L10=0),"""",IFERROR(TEXTJOIN("", "",
  TRUE,
  FILTER(
    TRIM(SPLIT(G10, "","")),
    MAP(
      TRIM(SPLIT(G10, "","")),
      LAMBDA(clave,
        COUNTIF('Asignaturas2026-2'!B:B, clave )&gt;0
      )
    )
  )
)))"),"#REF!")</f>
        <v>#REF!</v>
      </c>
      <c r="J10" s="20" t="s">
        <v>21</v>
      </c>
      <c r="K10" s="21" t="str">
        <f t="shared" si="3"/>
        <v>#REF!</v>
      </c>
      <c r="L10" s="21" t="str">
        <f t="shared" si="4"/>
        <v>#REF!</v>
      </c>
      <c r="M10" s="22">
        <v>1.0</v>
      </c>
      <c r="N10" s="17"/>
      <c r="O10" s="21">
        <v>2.0</v>
      </c>
      <c r="P10" s="21">
        <v>0.0</v>
      </c>
      <c r="Q10" s="21">
        <v>0.0</v>
      </c>
      <c r="R10" s="21">
        <v>0.0</v>
      </c>
    </row>
    <row r="11" ht="22.5" customHeight="1">
      <c r="A11" s="7" t="s">
        <v>45</v>
      </c>
      <c r="B11" s="7" t="s">
        <v>46</v>
      </c>
      <c r="C11" s="1">
        <v>4.0</v>
      </c>
      <c r="D11" s="1">
        <f t="shared" si="1"/>
        <v>6</v>
      </c>
      <c r="E11" s="1" t="s">
        <v>47</v>
      </c>
      <c r="F11" s="1">
        <v>3.0</v>
      </c>
      <c r="G11" s="9"/>
      <c r="H11" s="1" t="str">
        <f t="shared" si="2"/>
        <v>#REF!</v>
      </c>
      <c r="I11" s="10" t="str">
        <f>IFERROR(__xludf.DUMMYFUNCTION("if(or(L11=0),"""",IFERROR(TEXTJOIN("", "",
  TRUE,
  FILTER(
    TRIM(SPLIT(G11, "","")),
    MAP(
      TRIM(SPLIT(G11, "","")),
      LAMBDA(clave,
        COUNTIF('Asignaturas2026-2'!B:B, clave )&gt;0
      )
    )
  )
)))"),"#REF!")</f>
        <v>#REF!</v>
      </c>
      <c r="J11" s="11" t="s">
        <v>21</v>
      </c>
      <c r="K11" s="6" t="str">
        <f t="shared" si="3"/>
        <v>#REF!</v>
      </c>
      <c r="L11" s="6" t="str">
        <f t="shared" si="4"/>
        <v>#REF!</v>
      </c>
      <c r="M11" s="12">
        <v>0.96</v>
      </c>
      <c r="N11" s="6">
        <v>50.0</v>
      </c>
      <c r="O11" s="6">
        <v>4.0</v>
      </c>
      <c r="P11" s="6">
        <v>2.0</v>
      </c>
      <c r="Q11" s="6">
        <v>0.0</v>
      </c>
      <c r="R11" s="6">
        <v>0.0</v>
      </c>
    </row>
    <row r="12" ht="22.5" customHeight="1">
      <c r="A12" s="7" t="s">
        <v>48</v>
      </c>
      <c r="B12" s="7" t="s">
        <v>49</v>
      </c>
      <c r="C12" s="1">
        <v>4.0</v>
      </c>
      <c r="D12" s="1">
        <f t="shared" si="1"/>
        <v>6</v>
      </c>
      <c r="E12" s="1" t="s">
        <v>34</v>
      </c>
      <c r="F12" s="1">
        <v>3.0</v>
      </c>
      <c r="G12" s="9" t="s">
        <v>50</v>
      </c>
      <c r="H12" s="1" t="str">
        <f t="shared" si="2"/>
        <v>#REF!</v>
      </c>
      <c r="I12" s="10" t="str">
        <f>IFERROR(__xludf.DUMMYFUNCTION("if(or(L12=0),"""",IFERROR(TEXTJOIN("", "",
  TRUE,
  FILTER(
    TRIM(SPLIT(G12, "","")),
    MAP(
      TRIM(SPLIT(G12, "","")),
      LAMBDA(clave,
        COUNTIF('Asignaturas2026-2'!B:B, clave )&gt;0
      )
    )
  )
)))"),"#REF!")</f>
        <v>#REF!</v>
      </c>
      <c r="J12" s="11" t="s">
        <v>21</v>
      </c>
      <c r="K12" s="6" t="str">
        <f t="shared" si="3"/>
        <v>#REF!</v>
      </c>
      <c r="L12" s="6" t="str">
        <f t="shared" si="4"/>
        <v>#REF!</v>
      </c>
      <c r="M12" s="12">
        <v>0.93</v>
      </c>
      <c r="N12" s="6">
        <v>50.0</v>
      </c>
      <c r="O12" s="6">
        <v>4.0</v>
      </c>
      <c r="P12" s="6">
        <v>2.0</v>
      </c>
      <c r="Q12" s="6">
        <v>0.0</v>
      </c>
      <c r="R12" s="6">
        <v>0.0</v>
      </c>
    </row>
    <row r="13" ht="22.5" customHeight="1">
      <c r="A13" s="7" t="s">
        <v>51</v>
      </c>
      <c r="B13" s="7" t="s">
        <v>52</v>
      </c>
      <c r="C13" s="1">
        <v>5.0</v>
      </c>
      <c r="D13" s="1">
        <f t="shared" si="1"/>
        <v>7.5</v>
      </c>
      <c r="E13" s="1" t="s">
        <v>28</v>
      </c>
      <c r="F13" s="1">
        <v>3.0</v>
      </c>
      <c r="G13" s="9" t="s">
        <v>53</v>
      </c>
      <c r="H13" s="1" t="str">
        <f t="shared" si="2"/>
        <v>#REF!</v>
      </c>
      <c r="I13" s="10" t="str">
        <f>IFERROR(__xludf.DUMMYFUNCTION("if(or(L13=0),"""",IFERROR(TEXTJOIN("", "",
  TRUE,
  FILTER(
    TRIM(SPLIT(G13, "","")),
    MAP(
      TRIM(SPLIT(G13, "","")),
      LAMBDA(clave,
        COUNTIF('Asignaturas2026-2'!B:B, clave )&gt;0
      )
    )
  )
)))"),"#REF!")</f>
        <v>#REF!</v>
      </c>
      <c r="J13" s="11" t="s">
        <v>21</v>
      </c>
      <c r="K13" s="6" t="str">
        <f t="shared" si="3"/>
        <v>#REF!</v>
      </c>
      <c r="L13" s="6" t="str">
        <f t="shared" si="4"/>
        <v>#REF!</v>
      </c>
      <c r="M13" s="12">
        <v>1.0</v>
      </c>
      <c r="N13" s="6">
        <v>50.0</v>
      </c>
      <c r="O13" s="6">
        <v>6.0</v>
      </c>
      <c r="P13" s="6">
        <v>0.0</v>
      </c>
      <c r="Q13" s="6">
        <v>2.0</v>
      </c>
      <c r="R13" s="6">
        <v>0.0</v>
      </c>
    </row>
    <row r="14" ht="22.5" customHeight="1">
      <c r="A14" s="7" t="s">
        <v>54</v>
      </c>
      <c r="B14" s="7" t="s">
        <v>55</v>
      </c>
      <c r="C14" s="1">
        <v>4.0</v>
      </c>
      <c r="D14" s="1">
        <f t="shared" si="1"/>
        <v>6</v>
      </c>
      <c r="E14" s="1" t="s">
        <v>37</v>
      </c>
      <c r="F14" s="1">
        <v>3.0</v>
      </c>
      <c r="G14" s="9" t="s">
        <v>56</v>
      </c>
      <c r="H14" s="1" t="str">
        <f t="shared" si="2"/>
        <v>#REF!</v>
      </c>
      <c r="I14" s="10" t="str">
        <f>IFERROR(__xludf.DUMMYFUNCTION("if(or(L14=0),"""",IFERROR(TEXTJOIN("", "",
  TRUE,
  FILTER(
    TRIM(SPLIT(G14, "","")),
    MAP(
      TRIM(SPLIT(G14, "","")),
      LAMBDA(clave,
        COUNTIF('Asignaturas2026-2'!B:B, clave )&gt;0
      )
    )
  )
)))"),"#REF!")</f>
        <v>#REF!</v>
      </c>
      <c r="J14" s="11" t="s">
        <v>21</v>
      </c>
      <c r="K14" s="6" t="str">
        <f t="shared" si="3"/>
        <v>#REF!</v>
      </c>
      <c r="L14" s="6" t="str">
        <f t="shared" si="4"/>
        <v>#REF!</v>
      </c>
      <c r="M14" s="12">
        <v>0.8</v>
      </c>
      <c r="N14" s="6">
        <v>50.0</v>
      </c>
      <c r="O14" s="6">
        <v>4.0</v>
      </c>
      <c r="P14" s="6">
        <v>0.0</v>
      </c>
      <c r="Q14" s="6">
        <v>2.0</v>
      </c>
      <c r="R14" s="6">
        <v>0.0</v>
      </c>
    </row>
    <row r="15" ht="22.5" customHeight="1">
      <c r="A15" s="7" t="s">
        <v>57</v>
      </c>
      <c r="B15" s="7" t="s">
        <v>58</v>
      </c>
      <c r="C15" s="1">
        <v>2.0</v>
      </c>
      <c r="D15" s="1">
        <f t="shared" si="1"/>
        <v>3</v>
      </c>
      <c r="E15" s="8"/>
      <c r="F15" s="1">
        <v>4.0</v>
      </c>
      <c r="G15" s="9"/>
      <c r="H15" s="1" t="str">
        <f t="shared" si="2"/>
        <v>#REF!</v>
      </c>
      <c r="I15" s="10" t="str">
        <f>IFERROR(__xludf.DUMMYFUNCTION("if(or(L15=0),"""",IFERROR(TEXTJOIN("", "",
  TRUE,
  FILTER(
    TRIM(SPLIT(G15, "","")),
    MAP(
      TRIM(SPLIT(G15, "","")),
      LAMBDA(clave,
        COUNTIF('Asignaturas2026-2'!B:B, clave )&gt;0
      )
    )
  )
)))"),"#REF!")</f>
        <v>#REF!</v>
      </c>
      <c r="J15" s="11" t="s">
        <v>21</v>
      </c>
      <c r="K15" s="6" t="str">
        <f t="shared" si="3"/>
        <v>#REF!</v>
      </c>
      <c r="L15" s="6" t="str">
        <f t="shared" si="4"/>
        <v>#REF!</v>
      </c>
      <c r="M15" s="12">
        <v>1.0</v>
      </c>
      <c r="N15" s="6">
        <v>25.0</v>
      </c>
      <c r="O15" s="6">
        <v>4.0</v>
      </c>
      <c r="P15" s="6">
        <v>0.0</v>
      </c>
      <c r="Q15" s="6">
        <v>2.0</v>
      </c>
      <c r="R15" s="6">
        <v>0.0</v>
      </c>
    </row>
    <row r="16" ht="22.5" customHeight="1">
      <c r="A16" s="7" t="s">
        <v>59</v>
      </c>
      <c r="B16" s="7" t="s">
        <v>60</v>
      </c>
      <c r="C16" s="1">
        <v>3.0</v>
      </c>
      <c r="D16" s="1">
        <f t="shared" si="1"/>
        <v>4.5</v>
      </c>
      <c r="E16" s="1" t="s">
        <v>51</v>
      </c>
      <c r="F16" s="1">
        <v>4.0</v>
      </c>
      <c r="G16" s="9"/>
      <c r="H16" s="1" t="str">
        <f t="shared" si="2"/>
        <v>#REF!</v>
      </c>
      <c r="I16" s="10" t="str">
        <f>IFERROR(__xludf.DUMMYFUNCTION("if(or(L16=0),"""",IFERROR(TEXTJOIN("", "",
  TRUE,
  FILTER(
    TRIM(SPLIT(G16, "","")),
    MAP(
      TRIM(SPLIT(G16, "","")),
      LAMBDA(clave,
        COUNTIF('Asignaturas2026-2'!B:B, clave )&gt;0
      )
    )
  )
)))"),"#REF!")</f>
        <v>#REF!</v>
      </c>
      <c r="J16" s="11" t="s">
        <v>21</v>
      </c>
      <c r="K16" s="6" t="str">
        <f t="shared" si="3"/>
        <v>#REF!</v>
      </c>
      <c r="L16" s="6" t="str">
        <f t="shared" si="4"/>
        <v>#REF!</v>
      </c>
      <c r="M16" s="12">
        <v>1.0</v>
      </c>
      <c r="N16" s="6">
        <v>50.0</v>
      </c>
      <c r="O16" s="6">
        <v>2.0</v>
      </c>
      <c r="P16" s="6">
        <v>2.0</v>
      </c>
      <c r="Q16" s="6">
        <v>2.0</v>
      </c>
      <c r="R16" s="6">
        <v>0.0</v>
      </c>
    </row>
    <row r="17" ht="22.5" customHeight="1">
      <c r="A17" s="7" t="s">
        <v>61</v>
      </c>
      <c r="B17" s="7" t="s">
        <v>62</v>
      </c>
      <c r="C17" s="1">
        <v>3.0</v>
      </c>
      <c r="D17" s="1">
        <f t="shared" si="1"/>
        <v>4.5</v>
      </c>
      <c r="E17" s="23" t="s">
        <v>34</v>
      </c>
      <c r="F17" s="1">
        <v>4.0</v>
      </c>
      <c r="G17" s="9" t="s">
        <v>63</v>
      </c>
      <c r="H17" s="1" t="str">
        <f t="shared" si="2"/>
        <v>#REF!</v>
      </c>
      <c r="I17" s="10" t="str">
        <f>IFERROR(__xludf.DUMMYFUNCTION("if(or(L17=0),"""",IFERROR(TEXTJOIN("", "",
  TRUE,
  FILTER(
    TRIM(SPLIT(G17, "","")),
    MAP(
      TRIM(SPLIT(G17, "","")),
      LAMBDA(clave,
        COUNTIF('Asignaturas2026-2'!B:B, clave )&gt;0
      )
    )
  )
)))"),"#REF!")</f>
        <v>#REF!</v>
      </c>
      <c r="J17" s="11" t="s">
        <v>21</v>
      </c>
      <c r="K17" s="6" t="str">
        <f t="shared" si="3"/>
        <v>#REF!</v>
      </c>
      <c r="L17" s="6" t="str">
        <f t="shared" si="4"/>
        <v>#REF!</v>
      </c>
      <c r="M17" s="12">
        <v>1.0</v>
      </c>
      <c r="N17" s="6">
        <v>50.0</v>
      </c>
      <c r="O17" s="6">
        <v>4.0</v>
      </c>
      <c r="P17" s="6">
        <v>2.0</v>
      </c>
      <c r="Q17" s="6">
        <v>0.0</v>
      </c>
      <c r="R17" s="6">
        <v>0.0</v>
      </c>
    </row>
    <row r="18" ht="22.5" customHeight="1">
      <c r="A18" s="7" t="s">
        <v>64</v>
      </c>
      <c r="B18" s="7" t="s">
        <v>65</v>
      </c>
      <c r="C18" s="1">
        <v>3.0</v>
      </c>
      <c r="D18" s="1">
        <f t="shared" si="1"/>
        <v>4.5</v>
      </c>
      <c r="E18" s="1" t="s">
        <v>34</v>
      </c>
      <c r="F18" s="1">
        <v>4.0</v>
      </c>
      <c r="G18" s="9"/>
      <c r="H18" s="1" t="str">
        <f t="shared" si="2"/>
        <v>#REF!</v>
      </c>
      <c r="I18" s="10" t="str">
        <f>IFERROR(__xludf.DUMMYFUNCTION("if(or(L18=0),"""",IFERROR(TEXTJOIN("", "",
  TRUE,
  FILTER(
    TRIM(SPLIT(G18, "","")),
    MAP(
      TRIM(SPLIT(G18, "","")),
      LAMBDA(clave,
        COUNTIF('Asignaturas2026-2'!B:B, clave )&gt;0
      )
    )
  )
)))"),"#REF!")</f>
        <v>#REF!</v>
      </c>
      <c r="J18" s="11" t="s">
        <v>21</v>
      </c>
      <c r="K18" s="6" t="str">
        <f t="shared" si="3"/>
        <v>#REF!</v>
      </c>
      <c r="L18" s="6" t="str">
        <f t="shared" si="4"/>
        <v>#REF!</v>
      </c>
      <c r="M18" s="12">
        <v>1.0</v>
      </c>
      <c r="N18" s="6">
        <v>50.0</v>
      </c>
      <c r="O18" s="6">
        <v>4.0</v>
      </c>
      <c r="P18" s="6">
        <v>0.0</v>
      </c>
      <c r="Q18" s="6">
        <v>0.0</v>
      </c>
      <c r="R18" s="6">
        <v>0.0</v>
      </c>
    </row>
    <row r="19" ht="22.5" customHeight="1">
      <c r="A19" s="7" t="s">
        <v>66</v>
      </c>
      <c r="B19" s="7" t="s">
        <v>67</v>
      </c>
      <c r="C19" s="1">
        <v>3.0</v>
      </c>
      <c r="D19" s="1">
        <f t="shared" si="1"/>
        <v>4.5</v>
      </c>
      <c r="E19" s="1" t="s">
        <v>54</v>
      </c>
      <c r="F19" s="1">
        <v>4.0</v>
      </c>
      <c r="G19" s="9"/>
      <c r="H19" s="1" t="str">
        <f t="shared" si="2"/>
        <v>#REF!</v>
      </c>
      <c r="I19" s="10" t="str">
        <f>IFERROR(__xludf.DUMMYFUNCTION("if(or(L19=0),"""",IFERROR(TEXTJOIN("", "",
  TRUE,
  FILTER(
    TRIM(SPLIT(G19, "","")),
    MAP(
      TRIM(SPLIT(G19, "","")),
      LAMBDA(clave,
        COUNTIF('Asignaturas2026-2'!B:B, clave )&gt;0
      )
    )
  )
)))"),"#REF!")</f>
        <v>#REF!</v>
      </c>
      <c r="J19" s="11" t="s">
        <v>21</v>
      </c>
      <c r="K19" s="6" t="str">
        <f t="shared" si="3"/>
        <v>#REF!</v>
      </c>
      <c r="L19" s="6" t="str">
        <f t="shared" si="4"/>
        <v>#REF!</v>
      </c>
      <c r="M19" s="12">
        <v>1.0</v>
      </c>
      <c r="N19" s="6">
        <v>50.0</v>
      </c>
      <c r="O19" s="6">
        <v>4.0</v>
      </c>
      <c r="P19" s="6">
        <v>2.0</v>
      </c>
      <c r="Q19" s="6">
        <v>0.0</v>
      </c>
      <c r="R19" s="6">
        <v>0.0</v>
      </c>
    </row>
    <row r="20" ht="22.5" customHeight="1">
      <c r="A20" s="7" t="s">
        <v>68</v>
      </c>
      <c r="B20" s="7" t="s">
        <v>69</v>
      </c>
      <c r="C20" s="1">
        <v>4.0</v>
      </c>
      <c r="D20" s="1">
        <f t="shared" si="1"/>
        <v>6</v>
      </c>
      <c r="E20" s="23" t="s">
        <v>48</v>
      </c>
      <c r="F20" s="1">
        <v>4.0</v>
      </c>
      <c r="G20" s="9" t="s">
        <v>70</v>
      </c>
      <c r="H20" s="1" t="str">
        <f t="shared" si="2"/>
        <v>#REF!</v>
      </c>
      <c r="I20" s="10" t="str">
        <f>IFERROR(__xludf.DUMMYFUNCTION("if(or(L20=0),"""",IFERROR(TEXTJOIN("", "",
  TRUE,
  FILTER(
    TRIM(SPLIT(G20, "","")),
    MAP(
      TRIM(SPLIT(G20, "","")),
      LAMBDA(clave,
        COUNTIF('Asignaturas2026-2'!B:B, clave )&gt;0
      )
    )
  )
)))"),"#REF!")</f>
        <v>#REF!</v>
      </c>
      <c r="J20" s="11" t="s">
        <v>21</v>
      </c>
      <c r="K20" s="6" t="str">
        <f t="shared" si="3"/>
        <v>#REF!</v>
      </c>
      <c r="L20" s="6" t="str">
        <f t="shared" si="4"/>
        <v>#REF!</v>
      </c>
      <c r="M20" s="12">
        <v>1.0</v>
      </c>
      <c r="N20" s="6">
        <v>50.0</v>
      </c>
      <c r="O20" s="6">
        <v>4.0</v>
      </c>
      <c r="P20" s="6">
        <v>2.0</v>
      </c>
      <c r="Q20" s="6">
        <v>0.0</v>
      </c>
      <c r="R20" s="6">
        <v>0.0</v>
      </c>
    </row>
    <row r="21" ht="22.5" customHeight="1">
      <c r="A21" s="7" t="s">
        <v>71</v>
      </c>
      <c r="B21" s="7" t="s">
        <v>72</v>
      </c>
      <c r="C21" s="1">
        <v>2.0</v>
      </c>
      <c r="D21" s="1">
        <f t="shared" si="1"/>
        <v>3</v>
      </c>
      <c r="E21" s="1" t="s">
        <v>57</v>
      </c>
      <c r="F21" s="1">
        <v>5.0</v>
      </c>
      <c r="G21" s="9"/>
      <c r="H21" s="1" t="str">
        <f t="shared" si="2"/>
        <v>#REF!</v>
      </c>
      <c r="I21" s="10" t="str">
        <f>IFERROR(__xludf.DUMMYFUNCTION("if(or(L21=0),"""",IFERROR(TEXTJOIN("", "",
  TRUE,
  FILTER(
    TRIM(SPLIT(G21, "","")),
    MAP(
      TRIM(SPLIT(G21, "","")),
      LAMBDA(clave,
        COUNTIF('Asignaturas2026-2'!B:B, clave )&gt;0
      )
    )
  )
)))"),"#REF!")</f>
        <v>#REF!</v>
      </c>
      <c r="J21" s="11" t="s">
        <v>21</v>
      </c>
      <c r="K21" s="6" t="str">
        <f t="shared" si="3"/>
        <v>#REF!</v>
      </c>
      <c r="L21" s="6" t="str">
        <f t="shared" si="4"/>
        <v>#REF!</v>
      </c>
      <c r="M21" s="12">
        <v>1.0</v>
      </c>
      <c r="N21" s="6">
        <v>25.0</v>
      </c>
      <c r="O21" s="6">
        <v>4.0</v>
      </c>
      <c r="P21" s="6">
        <v>0.0</v>
      </c>
      <c r="Q21" s="6">
        <v>2.0</v>
      </c>
      <c r="R21" s="6">
        <v>0.0</v>
      </c>
    </row>
    <row r="22" ht="22.5" customHeight="1">
      <c r="A22" s="7" t="s">
        <v>73</v>
      </c>
      <c r="B22" s="7" t="s">
        <v>74</v>
      </c>
      <c r="C22" s="1">
        <v>3.0</v>
      </c>
      <c r="D22" s="1">
        <f t="shared" si="1"/>
        <v>4.5</v>
      </c>
      <c r="E22" s="1" t="s">
        <v>51</v>
      </c>
      <c r="F22" s="1">
        <v>5.0</v>
      </c>
      <c r="G22" s="9"/>
      <c r="H22" s="1" t="str">
        <f t="shared" si="2"/>
        <v>#REF!</v>
      </c>
      <c r="I22" s="10" t="str">
        <f>IFERROR(__xludf.DUMMYFUNCTION("if(or(L22=0),"""",IFERROR(TEXTJOIN("", "",
  TRUE,
  FILTER(
    TRIM(SPLIT(G22, "","")),
    MAP(
      TRIM(SPLIT(G22, "","")),
      LAMBDA(clave,
        COUNTIF('Asignaturas2026-2'!B:B, clave )&gt;0
      )
    )
  )
)))"),"#REF!")</f>
        <v>#REF!</v>
      </c>
      <c r="J22" s="11" t="s">
        <v>21</v>
      </c>
      <c r="K22" s="6" t="str">
        <f t="shared" si="3"/>
        <v>#REF!</v>
      </c>
      <c r="L22" s="6" t="str">
        <f t="shared" si="4"/>
        <v>#REF!</v>
      </c>
      <c r="M22" s="12">
        <v>1.0</v>
      </c>
      <c r="N22" s="6">
        <v>50.0</v>
      </c>
      <c r="O22" s="6">
        <v>2.0</v>
      </c>
      <c r="P22" s="6">
        <v>2.0</v>
      </c>
      <c r="Q22" s="6">
        <v>2.0</v>
      </c>
      <c r="R22" s="6">
        <v>0.0</v>
      </c>
    </row>
    <row r="23" ht="22.5" customHeight="1">
      <c r="A23" s="7" t="s">
        <v>75</v>
      </c>
      <c r="B23" s="7" t="s">
        <v>76</v>
      </c>
      <c r="C23" s="1">
        <v>3.0</v>
      </c>
      <c r="D23" s="1">
        <f t="shared" si="1"/>
        <v>4.5</v>
      </c>
      <c r="E23" s="8"/>
      <c r="F23" s="1">
        <v>5.0</v>
      </c>
      <c r="G23" s="9" t="s">
        <v>77</v>
      </c>
      <c r="H23" s="1" t="str">
        <f t="shared" si="2"/>
        <v>#REF!</v>
      </c>
      <c r="I23" s="10" t="str">
        <f>IFERROR(__xludf.DUMMYFUNCTION("if(or(L23=0),"""",IFERROR(TEXTJOIN("", "",
  TRUE,
  FILTER(
    TRIM(SPLIT(G23, "","")),
    MAP(
      TRIM(SPLIT(G23, "","")),
      LAMBDA(clave,
        COUNTIF('Asignaturas2026-2'!B:B, clave )&gt;0
      )
    )
  )
)))"),"#REF!")</f>
        <v>#REF!</v>
      </c>
      <c r="J23" s="11" t="s">
        <v>21</v>
      </c>
      <c r="K23" s="6" t="str">
        <f t="shared" si="3"/>
        <v>#REF!</v>
      </c>
      <c r="L23" s="6" t="str">
        <f t="shared" si="4"/>
        <v>#REF!</v>
      </c>
      <c r="M23" s="12">
        <v>0.94</v>
      </c>
      <c r="N23" s="6">
        <v>50.0</v>
      </c>
      <c r="O23" s="6">
        <v>4.0</v>
      </c>
      <c r="P23" s="6">
        <v>0.0</v>
      </c>
      <c r="Q23" s="6">
        <v>0.0</v>
      </c>
      <c r="R23" s="6">
        <v>0.0</v>
      </c>
    </row>
    <row r="24" ht="22.5" customHeight="1">
      <c r="A24" s="7" t="s">
        <v>78</v>
      </c>
      <c r="B24" s="7" t="s">
        <v>79</v>
      </c>
      <c r="C24" s="1">
        <v>4.0</v>
      </c>
      <c r="D24" s="1">
        <f t="shared" si="1"/>
        <v>6</v>
      </c>
      <c r="E24" s="1" t="s">
        <v>54</v>
      </c>
      <c r="F24" s="1">
        <v>5.0</v>
      </c>
      <c r="G24" s="9" t="s">
        <v>80</v>
      </c>
      <c r="H24" s="1" t="str">
        <f t="shared" si="2"/>
        <v>#REF!</v>
      </c>
      <c r="I24" s="10" t="str">
        <f>IFERROR(__xludf.DUMMYFUNCTION("if(or(L24=0),"""",IFERROR(TEXTJOIN("", "",
  TRUE,
  FILTER(
    TRIM(SPLIT(G24, "","")),
    MAP(
      TRIM(SPLIT(G24, "","")),
      LAMBDA(clave,
        COUNTIF('Asignaturas2026-2'!B:B, clave )&gt;0
      )
    )
  )
)))"),"#REF!")</f>
        <v>#REF!</v>
      </c>
      <c r="J24" s="11" t="s">
        <v>21</v>
      </c>
      <c r="K24" s="6" t="str">
        <f t="shared" si="3"/>
        <v>#REF!</v>
      </c>
      <c r="L24" s="6" t="str">
        <f t="shared" si="4"/>
        <v>#REF!</v>
      </c>
      <c r="M24" s="12">
        <v>0.9</v>
      </c>
      <c r="N24" s="6">
        <v>50.0</v>
      </c>
      <c r="O24" s="6">
        <v>4.0</v>
      </c>
      <c r="P24" s="6">
        <v>2.0</v>
      </c>
      <c r="Q24" s="6">
        <v>0.0</v>
      </c>
      <c r="R24" s="6">
        <v>0.0</v>
      </c>
    </row>
    <row r="25" ht="22.5" customHeight="1">
      <c r="A25" s="7" t="s">
        <v>81</v>
      </c>
      <c r="B25" s="7" t="s">
        <v>82</v>
      </c>
      <c r="C25" s="1">
        <v>4.0</v>
      </c>
      <c r="D25" s="1">
        <f t="shared" si="1"/>
        <v>6</v>
      </c>
      <c r="E25" s="1" t="s">
        <v>48</v>
      </c>
      <c r="F25" s="1">
        <v>5.0</v>
      </c>
      <c r="G25" s="9" t="s">
        <v>83</v>
      </c>
      <c r="H25" s="1" t="str">
        <f t="shared" si="2"/>
        <v>#REF!</v>
      </c>
      <c r="I25" s="10" t="str">
        <f>IFERROR(__xludf.DUMMYFUNCTION("if(or(L25=0),"""",IFERROR(TEXTJOIN("", "",
  TRUE,
  FILTER(
    TRIM(SPLIT(G25, "","")),
    MAP(
      TRIM(SPLIT(G25, "","")),
      LAMBDA(clave,
        COUNTIF('Asignaturas2026-2'!B:B, clave )&gt;0
      )
    )
  )
)))"),"#REF!")</f>
        <v>#REF!</v>
      </c>
      <c r="J25" s="11" t="s">
        <v>21</v>
      </c>
      <c r="K25" s="6" t="str">
        <f t="shared" si="3"/>
        <v>#REF!</v>
      </c>
      <c r="L25" s="6" t="str">
        <f t="shared" si="4"/>
        <v>#REF!</v>
      </c>
      <c r="M25" s="12">
        <v>1.0</v>
      </c>
      <c r="N25" s="6">
        <v>50.0</v>
      </c>
      <c r="O25" s="6">
        <v>4.0</v>
      </c>
      <c r="P25" s="6">
        <v>2.0</v>
      </c>
      <c r="Q25" s="6">
        <v>0.0</v>
      </c>
      <c r="R25" s="6">
        <v>0.0</v>
      </c>
    </row>
    <row r="26" ht="22.5" customHeight="1">
      <c r="A26" s="7" t="s">
        <v>84</v>
      </c>
      <c r="B26" s="7" t="s">
        <v>85</v>
      </c>
      <c r="C26" s="1">
        <v>2.0</v>
      </c>
      <c r="D26" s="1">
        <f t="shared" si="1"/>
        <v>3</v>
      </c>
      <c r="E26" s="1" t="s">
        <v>71</v>
      </c>
      <c r="F26" s="1">
        <v>6.0</v>
      </c>
      <c r="G26" s="9"/>
      <c r="H26" s="1" t="str">
        <f t="shared" si="2"/>
        <v>#REF!</v>
      </c>
      <c r="I26" s="10" t="str">
        <f>IFERROR(__xludf.DUMMYFUNCTION("if(or(L26=0),"""",IFERROR(TEXTJOIN("", "",
  TRUE,
  FILTER(
    TRIM(SPLIT(G26, "","")),
    MAP(
      TRIM(SPLIT(G26, "","")),
      LAMBDA(clave,
        COUNTIF('Asignaturas2026-2'!B:B, clave )&gt;0
      )
    )
  )
)))"),"#REF!")</f>
        <v>#REF!</v>
      </c>
      <c r="J26" s="11" t="s">
        <v>21</v>
      </c>
      <c r="K26" s="6" t="str">
        <f t="shared" si="3"/>
        <v>#REF!</v>
      </c>
      <c r="L26" s="6" t="str">
        <f t="shared" si="4"/>
        <v>#REF!</v>
      </c>
      <c r="M26" s="12">
        <v>1.0</v>
      </c>
      <c r="N26" s="6">
        <v>25.0</v>
      </c>
      <c r="O26" s="6">
        <v>4.0</v>
      </c>
      <c r="P26" s="6">
        <v>0.0</v>
      </c>
      <c r="Q26" s="6">
        <v>2.0</v>
      </c>
      <c r="R26" s="6">
        <v>0.0</v>
      </c>
    </row>
    <row r="27" ht="22.5" customHeight="1">
      <c r="A27" s="7" t="s">
        <v>86</v>
      </c>
      <c r="B27" s="7" t="s">
        <v>87</v>
      </c>
      <c r="C27" s="1">
        <v>3.0</v>
      </c>
      <c r="D27" s="1">
        <f t="shared" si="1"/>
        <v>4.5</v>
      </c>
      <c r="E27" s="1" t="s">
        <v>66</v>
      </c>
      <c r="F27" s="1">
        <v>6.0</v>
      </c>
      <c r="G27" s="9" t="s">
        <v>88</v>
      </c>
      <c r="H27" s="1" t="str">
        <f t="shared" si="2"/>
        <v>#REF!</v>
      </c>
      <c r="I27" s="10" t="str">
        <f>IFERROR(__xludf.DUMMYFUNCTION("if(or(L27=0),"""",IFERROR(TEXTJOIN("", "",
  TRUE,
  FILTER(
    TRIM(SPLIT(G27, "","")),
    MAP(
      TRIM(SPLIT(G27, "","")),
      LAMBDA(clave,
        COUNTIF('Asignaturas2026-2'!B:B, clave )&gt;0
      )
    )
  )
)))"),"#REF!")</f>
        <v>#REF!</v>
      </c>
      <c r="J27" s="11" t="s">
        <v>21</v>
      </c>
      <c r="K27" s="6" t="str">
        <f t="shared" si="3"/>
        <v>#REF!</v>
      </c>
      <c r="L27" s="6" t="str">
        <f t="shared" si="4"/>
        <v>#REF!</v>
      </c>
      <c r="M27" s="12">
        <v>1.0</v>
      </c>
      <c r="N27" s="6">
        <v>50.0</v>
      </c>
      <c r="O27" s="6">
        <v>4.0</v>
      </c>
      <c r="P27" s="6">
        <v>0.0</v>
      </c>
      <c r="Q27" s="6">
        <v>0.0</v>
      </c>
      <c r="R27" s="6">
        <v>0.0</v>
      </c>
    </row>
    <row r="28" ht="22.5" customHeight="1">
      <c r="A28" s="7" t="s">
        <v>89</v>
      </c>
      <c r="B28" s="7" t="s">
        <v>90</v>
      </c>
      <c r="C28" s="1">
        <v>4.0</v>
      </c>
      <c r="D28" s="1">
        <f t="shared" si="1"/>
        <v>6</v>
      </c>
      <c r="E28" s="1" t="s">
        <v>78</v>
      </c>
      <c r="F28" s="1">
        <v>6.0</v>
      </c>
      <c r="G28" s="9"/>
      <c r="H28" s="1" t="str">
        <f t="shared" si="2"/>
        <v>#REF!</v>
      </c>
      <c r="I28" s="10" t="str">
        <f>IFERROR(__xludf.DUMMYFUNCTION("if(or(L28=0),"""",IFERROR(TEXTJOIN("", "",
  TRUE,
  FILTER(
    TRIM(SPLIT(G28, "","")),
    MAP(
      TRIM(SPLIT(G28, "","")),
      LAMBDA(clave,
        COUNTIF('Asignaturas2026-2'!B:B, clave )&gt;0
      )
    )
  )
)))"),"#REF!")</f>
        <v>#REF!</v>
      </c>
      <c r="J28" s="11" t="s">
        <v>21</v>
      </c>
      <c r="K28" s="6" t="str">
        <f t="shared" si="3"/>
        <v>#REF!</v>
      </c>
      <c r="L28" s="6" t="str">
        <f t="shared" si="4"/>
        <v>#REF!</v>
      </c>
      <c r="M28" s="12">
        <v>1.0</v>
      </c>
      <c r="N28" s="6">
        <v>50.0</v>
      </c>
      <c r="O28" s="6">
        <v>4.0</v>
      </c>
      <c r="P28" s="6">
        <v>2.0</v>
      </c>
      <c r="Q28" s="6">
        <v>0.0</v>
      </c>
      <c r="R28" s="6">
        <v>0.0</v>
      </c>
    </row>
    <row r="29" ht="22.5" customHeight="1">
      <c r="A29" s="7" t="s">
        <v>91</v>
      </c>
      <c r="B29" s="7" t="s">
        <v>92</v>
      </c>
      <c r="C29" s="1">
        <v>4.0</v>
      </c>
      <c r="D29" s="1">
        <f t="shared" si="1"/>
        <v>6</v>
      </c>
      <c r="E29" s="1" t="s">
        <v>68</v>
      </c>
      <c r="F29" s="1">
        <v>6.0</v>
      </c>
      <c r="G29" s="9" t="s">
        <v>93</v>
      </c>
      <c r="H29" s="1" t="str">
        <f t="shared" si="2"/>
        <v>#REF!</v>
      </c>
      <c r="I29" s="10" t="str">
        <f>IFERROR(__xludf.DUMMYFUNCTION("if(or(L29=0),"""",IFERROR(TEXTJOIN("", "",
  TRUE,
  FILTER(
    TRIM(SPLIT(G29, "","")),
    MAP(
      TRIM(SPLIT(G29, "","")),
      LAMBDA(clave,
        COUNTIF('Asignaturas2026-2'!B:B, clave )&gt;0
      )
    )
  )
)))"),"#REF!")</f>
        <v>#REF!</v>
      </c>
      <c r="J29" s="11" t="s">
        <v>21</v>
      </c>
      <c r="K29" s="6" t="str">
        <f t="shared" si="3"/>
        <v>#REF!</v>
      </c>
      <c r="L29" s="6" t="str">
        <f t="shared" si="4"/>
        <v>#REF!</v>
      </c>
      <c r="M29" s="12">
        <v>1.0</v>
      </c>
      <c r="N29" s="6">
        <v>50.0</v>
      </c>
      <c r="O29" s="6">
        <v>4.0</v>
      </c>
      <c r="P29" s="6">
        <v>2.0</v>
      </c>
      <c r="Q29" s="6">
        <v>0.0</v>
      </c>
      <c r="R29" s="6">
        <v>0.0</v>
      </c>
    </row>
    <row r="30" ht="22.5" customHeight="1">
      <c r="A30" s="7" t="s">
        <v>94</v>
      </c>
      <c r="B30" s="7" t="s">
        <v>95</v>
      </c>
      <c r="C30" s="1">
        <v>4.0</v>
      </c>
      <c r="D30" s="1">
        <f t="shared" si="1"/>
        <v>6</v>
      </c>
      <c r="E30" s="1" t="s">
        <v>78</v>
      </c>
      <c r="F30" s="1">
        <v>6.0</v>
      </c>
      <c r="G30" s="9"/>
      <c r="H30" s="1" t="str">
        <f t="shared" si="2"/>
        <v>#REF!</v>
      </c>
      <c r="I30" s="10" t="str">
        <f>IFERROR(__xludf.DUMMYFUNCTION("if(or(L30=0),"""",IFERROR(TEXTJOIN("", "",
  TRUE,
  FILTER(
    TRIM(SPLIT(G30, "","")),
    MAP(
      TRIM(SPLIT(G30, "","")),
      LAMBDA(clave,
        COUNTIF('Asignaturas2026-2'!B:B, clave )&gt;0
      )
    )
  )
)))"),"#REF!")</f>
        <v>#REF!</v>
      </c>
      <c r="J30" s="11" t="s">
        <v>21</v>
      </c>
      <c r="K30" s="6" t="str">
        <f t="shared" si="3"/>
        <v>#REF!</v>
      </c>
      <c r="L30" s="6" t="str">
        <f t="shared" si="4"/>
        <v>#REF!</v>
      </c>
      <c r="M30" s="24">
        <v>1.0</v>
      </c>
      <c r="N30" s="6">
        <v>50.0</v>
      </c>
      <c r="O30" s="6">
        <v>4.0</v>
      </c>
      <c r="P30" s="6">
        <v>2.0</v>
      </c>
      <c r="Q30" s="6">
        <v>0.0</v>
      </c>
      <c r="R30" s="6">
        <v>0.0</v>
      </c>
    </row>
    <row r="31" ht="22.5" customHeight="1">
      <c r="A31" s="7" t="s">
        <v>96</v>
      </c>
      <c r="B31" s="7" t="s">
        <v>97</v>
      </c>
      <c r="C31" s="1">
        <v>4.0</v>
      </c>
      <c r="D31" s="1">
        <f t="shared" si="1"/>
        <v>6</v>
      </c>
      <c r="E31" s="1" t="s">
        <v>48</v>
      </c>
      <c r="F31" s="1">
        <v>6.0</v>
      </c>
      <c r="G31" s="9" t="s">
        <v>98</v>
      </c>
      <c r="H31" s="1" t="str">
        <f t="shared" si="2"/>
        <v>#REF!</v>
      </c>
      <c r="I31" s="10" t="str">
        <f>IFERROR(__xludf.DUMMYFUNCTION("if(or(L31=0),"""",IFERROR(TEXTJOIN("", "",
  TRUE,
  FILTER(
    TRIM(SPLIT(G31, "","")),
    MAP(
      TRIM(SPLIT(G31, "","")),
      LAMBDA(clave,
        COUNTIF('Asignaturas2026-2'!B:B, clave )&gt;0
      )
    )
  )
)))"),"#REF!")</f>
        <v>#REF!</v>
      </c>
      <c r="J31" s="11" t="s">
        <v>21</v>
      </c>
      <c r="K31" s="6" t="str">
        <f t="shared" si="3"/>
        <v>#REF!</v>
      </c>
      <c r="L31" s="6" t="str">
        <f t="shared" si="4"/>
        <v>#REF!</v>
      </c>
      <c r="M31" s="12">
        <v>1.0</v>
      </c>
      <c r="N31" s="6">
        <v>50.0</v>
      </c>
      <c r="O31" s="6">
        <v>4.0</v>
      </c>
      <c r="P31" s="6">
        <v>2.0</v>
      </c>
      <c r="Q31" s="6">
        <v>0.0</v>
      </c>
      <c r="R31" s="6">
        <v>0.0</v>
      </c>
    </row>
    <row r="32" ht="22.5" customHeight="1">
      <c r="A32" s="7" t="s">
        <v>99</v>
      </c>
      <c r="B32" s="7" t="s">
        <v>100</v>
      </c>
      <c r="C32" s="1">
        <v>2.0</v>
      </c>
      <c r="D32" s="1">
        <f t="shared" si="1"/>
        <v>3</v>
      </c>
      <c r="E32" s="1" t="s">
        <v>84</v>
      </c>
      <c r="F32" s="1">
        <v>7.0</v>
      </c>
      <c r="G32" s="9"/>
      <c r="H32" s="1" t="str">
        <f t="shared" si="2"/>
        <v>#REF!</v>
      </c>
      <c r="I32" s="10" t="str">
        <f>IFERROR(__xludf.DUMMYFUNCTION("if(or(L32=0),"""",IFERROR(TEXTJOIN("", "",
  TRUE,
  FILTER(
    TRIM(SPLIT(G32, "","")),
    MAP(
      TRIM(SPLIT(G32, "","")),
      LAMBDA(clave,
        COUNTIF('Asignaturas2026-2'!B:B, clave )&gt;0
      )
    )
  )
)))"),"#REF!")</f>
        <v>#REF!</v>
      </c>
      <c r="J32" s="11" t="s">
        <v>21</v>
      </c>
      <c r="K32" s="6" t="str">
        <f t="shared" si="3"/>
        <v>#REF!</v>
      </c>
      <c r="L32" s="6" t="str">
        <f t="shared" si="4"/>
        <v>#REF!</v>
      </c>
      <c r="M32" s="12">
        <v>1.0</v>
      </c>
      <c r="N32" s="6">
        <v>25.0</v>
      </c>
      <c r="O32" s="6">
        <v>4.0</v>
      </c>
      <c r="P32" s="6">
        <v>0.0</v>
      </c>
      <c r="Q32" s="6">
        <v>2.0</v>
      </c>
      <c r="R32" s="6">
        <v>0.0</v>
      </c>
    </row>
    <row r="33" ht="22.5" customHeight="1">
      <c r="A33" s="7" t="s">
        <v>101</v>
      </c>
      <c r="B33" s="7" t="s">
        <v>102</v>
      </c>
      <c r="C33" s="1">
        <v>3.0</v>
      </c>
      <c r="D33" s="1">
        <f t="shared" si="1"/>
        <v>4.5</v>
      </c>
      <c r="E33" s="1" t="s">
        <v>75</v>
      </c>
      <c r="F33" s="1">
        <v>7.0</v>
      </c>
      <c r="G33" s="9" t="s">
        <v>103</v>
      </c>
      <c r="H33" s="1" t="str">
        <f t="shared" si="2"/>
        <v>#REF!</v>
      </c>
      <c r="I33" s="10" t="str">
        <f>IFERROR(__xludf.DUMMYFUNCTION("if(or(L33=0),"""",IFERROR(TEXTJOIN("", "",
  TRUE,
  FILTER(
    TRIM(SPLIT(G33, "","")),
    MAP(
      TRIM(SPLIT(G33, "","")),
      LAMBDA(clave,
        COUNTIF('Asignaturas2026-2'!B:B, clave )&gt;0
      )
    )
  )
)))"),"#REF!")</f>
        <v>#REF!</v>
      </c>
      <c r="J33" s="11" t="s">
        <v>21</v>
      </c>
      <c r="K33" s="6" t="str">
        <f t="shared" si="3"/>
        <v>#REF!</v>
      </c>
      <c r="L33" s="6" t="str">
        <f t="shared" si="4"/>
        <v>#REF!</v>
      </c>
      <c r="M33" s="12">
        <v>1.0</v>
      </c>
      <c r="N33" s="6">
        <v>50.0</v>
      </c>
      <c r="O33" s="6">
        <v>4.0</v>
      </c>
      <c r="P33" s="6">
        <v>0.0</v>
      </c>
      <c r="Q33" s="6">
        <v>0.0</v>
      </c>
      <c r="R33" s="6">
        <v>0.0</v>
      </c>
    </row>
    <row r="34" ht="22.5" customHeight="1">
      <c r="A34" s="7" t="s">
        <v>104</v>
      </c>
      <c r="B34" s="7" t="s">
        <v>105</v>
      </c>
      <c r="C34" s="1">
        <v>4.0</v>
      </c>
      <c r="D34" s="1">
        <f t="shared" si="1"/>
        <v>6</v>
      </c>
      <c r="E34" s="1" t="s">
        <v>66</v>
      </c>
      <c r="F34" s="1">
        <v>7.0</v>
      </c>
      <c r="G34" s="9" t="s">
        <v>106</v>
      </c>
      <c r="H34" s="1" t="str">
        <f t="shared" si="2"/>
        <v>#REF!</v>
      </c>
      <c r="I34" s="10" t="str">
        <f>IFERROR(__xludf.DUMMYFUNCTION("if(or(L34=0),"""",IFERROR(TEXTJOIN("", "",
  TRUE,
  FILTER(
    TRIM(SPLIT(G34, "","")),
    MAP(
      TRIM(SPLIT(G34, "","")),
      LAMBDA(clave,
        COUNTIF('Asignaturas2026-2'!B:B, clave )&gt;0
      )
    )
  )
)))"),"#REF!")</f>
        <v>#REF!</v>
      </c>
      <c r="J34" s="11" t="s">
        <v>21</v>
      </c>
      <c r="K34" s="6" t="str">
        <f t="shared" si="3"/>
        <v>#REF!</v>
      </c>
      <c r="L34" s="6" t="str">
        <f t="shared" si="4"/>
        <v>#REF!</v>
      </c>
      <c r="M34" s="12">
        <v>1.0</v>
      </c>
      <c r="N34" s="6">
        <v>50.0</v>
      </c>
      <c r="O34" s="6">
        <v>4.0</v>
      </c>
      <c r="P34" s="6">
        <v>2.0</v>
      </c>
      <c r="Q34" s="6">
        <v>0.0</v>
      </c>
      <c r="R34" s="6">
        <v>0.0</v>
      </c>
    </row>
    <row r="35" ht="22.5" customHeight="1">
      <c r="A35" s="7" t="s">
        <v>107</v>
      </c>
      <c r="B35" s="7" t="s">
        <v>108</v>
      </c>
      <c r="C35" s="1">
        <v>4.0</v>
      </c>
      <c r="D35" s="1">
        <f t="shared" si="1"/>
        <v>6</v>
      </c>
      <c r="E35" s="1" t="s">
        <v>89</v>
      </c>
      <c r="F35" s="1">
        <v>7.0</v>
      </c>
      <c r="G35" s="9"/>
      <c r="H35" s="1" t="str">
        <f t="shared" si="2"/>
        <v>#REF!</v>
      </c>
      <c r="I35" s="10" t="str">
        <f>IFERROR(__xludf.DUMMYFUNCTION("if(or(L35=0),"""",IFERROR(TEXTJOIN("", "",
  TRUE,
  FILTER(
    TRIM(SPLIT(G35, "","")),
    MAP(
      TRIM(SPLIT(G35, "","")),
      LAMBDA(clave,
        COUNTIF('Asignaturas2026-2'!B:B, clave )&gt;0
      )
    )
  )
)))"),"#REF!")</f>
        <v>#REF!</v>
      </c>
      <c r="J35" s="11" t="s">
        <v>21</v>
      </c>
      <c r="K35" s="6" t="str">
        <f t="shared" si="3"/>
        <v>#REF!</v>
      </c>
      <c r="L35" s="6" t="str">
        <f t="shared" si="4"/>
        <v>#REF!</v>
      </c>
      <c r="M35" s="12">
        <v>1.0</v>
      </c>
      <c r="N35" s="6">
        <v>50.0</v>
      </c>
      <c r="O35" s="6">
        <v>4.0</v>
      </c>
      <c r="P35" s="6">
        <v>2.0</v>
      </c>
      <c r="Q35" s="6">
        <v>0.0</v>
      </c>
      <c r="R35" s="6">
        <v>0.0</v>
      </c>
    </row>
    <row r="36" ht="22.5" customHeight="1">
      <c r="A36" s="7" t="s">
        <v>109</v>
      </c>
      <c r="B36" s="7" t="s">
        <v>110</v>
      </c>
      <c r="C36" s="1">
        <v>4.0</v>
      </c>
      <c r="D36" s="1">
        <f t="shared" si="1"/>
        <v>6</v>
      </c>
      <c r="E36" s="1" t="s">
        <v>91</v>
      </c>
      <c r="F36" s="1">
        <v>7.0</v>
      </c>
      <c r="G36" s="9"/>
      <c r="H36" s="1" t="str">
        <f t="shared" si="2"/>
        <v>#REF!</v>
      </c>
      <c r="I36" s="10" t="str">
        <f>IFERROR(__xludf.DUMMYFUNCTION("if(or(L36=0),"""",IFERROR(TEXTJOIN("", "",
  TRUE,
  FILTER(
    TRIM(SPLIT(G36, "","")),
    MAP(
      TRIM(SPLIT(G36, "","")),
      LAMBDA(clave,
        COUNTIF('Asignaturas2026-2'!B:B, clave )&gt;0
      )
    )
  )
)))"),"#REF!")</f>
        <v>#REF!</v>
      </c>
      <c r="J36" s="11" t="s">
        <v>21</v>
      </c>
      <c r="K36" s="6" t="str">
        <f t="shared" si="3"/>
        <v>#REF!</v>
      </c>
      <c r="L36" s="6" t="str">
        <f t="shared" si="4"/>
        <v>#REF!</v>
      </c>
      <c r="M36" s="12">
        <v>1.0</v>
      </c>
      <c r="N36" s="6">
        <v>50.0</v>
      </c>
      <c r="O36" s="6">
        <v>4.0</v>
      </c>
      <c r="P36" s="6">
        <v>2.0</v>
      </c>
      <c r="Q36" s="6">
        <v>0.0</v>
      </c>
      <c r="R36" s="6">
        <v>0.0</v>
      </c>
    </row>
    <row r="37" ht="22.5" customHeight="1">
      <c r="A37" s="7" t="s">
        <v>111</v>
      </c>
      <c r="B37" s="7" t="s">
        <v>112</v>
      </c>
      <c r="C37" s="1">
        <v>4.0</v>
      </c>
      <c r="D37" s="1">
        <f t="shared" si="1"/>
        <v>6</v>
      </c>
      <c r="E37" s="1" t="s">
        <v>81</v>
      </c>
      <c r="F37" s="1">
        <v>7.0</v>
      </c>
      <c r="G37" s="9"/>
      <c r="H37" s="1" t="str">
        <f t="shared" si="2"/>
        <v>#REF!</v>
      </c>
      <c r="I37" s="10" t="str">
        <f>IFERROR(__xludf.DUMMYFUNCTION("if(or(L37=0),"""",IFERROR(TEXTJOIN("", "",
  TRUE,
  FILTER(
    TRIM(SPLIT(G37, "","")),
    MAP(
      TRIM(SPLIT(G37, "","")),
      LAMBDA(clave,
        COUNTIF('Asignaturas2026-2'!B:B, clave )&gt;0
      )
    )
  )
)))"),"#REF!")</f>
        <v>#REF!</v>
      </c>
      <c r="J37" s="11" t="s">
        <v>21</v>
      </c>
      <c r="K37" s="6" t="str">
        <f t="shared" si="3"/>
        <v>#REF!</v>
      </c>
      <c r="L37" s="6" t="str">
        <f t="shared" si="4"/>
        <v>#REF!</v>
      </c>
      <c r="M37" s="12">
        <v>0.92</v>
      </c>
      <c r="N37" s="6">
        <v>50.0</v>
      </c>
      <c r="O37" s="6">
        <v>4.0</v>
      </c>
      <c r="P37" s="6">
        <v>2.0</v>
      </c>
      <c r="Q37" s="6">
        <v>0.0</v>
      </c>
      <c r="R37" s="6">
        <v>0.0</v>
      </c>
    </row>
    <row r="38" ht="22.5" customHeight="1">
      <c r="A38" s="7" t="s">
        <v>113</v>
      </c>
      <c r="B38" s="7" t="s">
        <v>114</v>
      </c>
      <c r="C38" s="1">
        <v>4.0</v>
      </c>
      <c r="D38" s="1">
        <f t="shared" si="1"/>
        <v>6</v>
      </c>
      <c r="E38" s="1" t="s">
        <v>104</v>
      </c>
      <c r="F38" s="1">
        <v>8.0</v>
      </c>
      <c r="G38" s="9" t="s">
        <v>115</v>
      </c>
      <c r="H38" s="1" t="str">
        <f t="shared" si="2"/>
        <v>#REF!</v>
      </c>
      <c r="I38" s="10" t="str">
        <f>IFERROR(__xludf.DUMMYFUNCTION("if(or(L38=0),"""",IFERROR(TEXTJOIN("", "",
  TRUE,
  FILTER(
    TRIM(SPLIT(G38, "","")),
    MAP(
      TRIM(SPLIT(G38, "","")),
      LAMBDA(clave,
        COUNTIF('Asignaturas2026-2'!B:B, clave )&gt;0
      )
    )
  )
)))"),"#REF!")</f>
        <v>#REF!</v>
      </c>
      <c r="J38" s="11" t="s">
        <v>21</v>
      </c>
      <c r="K38" s="6" t="str">
        <f t="shared" si="3"/>
        <v>#REF!</v>
      </c>
      <c r="L38" s="6" t="str">
        <f t="shared" si="4"/>
        <v>#REF!</v>
      </c>
      <c r="M38" s="12">
        <v>1.0</v>
      </c>
      <c r="N38" s="6">
        <v>50.0</v>
      </c>
      <c r="O38" s="6">
        <v>4.0</v>
      </c>
      <c r="P38" s="6">
        <v>2.0</v>
      </c>
      <c r="Q38" s="6">
        <v>0.0</v>
      </c>
      <c r="R38" s="6">
        <v>0.0</v>
      </c>
    </row>
    <row r="39" ht="22.5" customHeight="1">
      <c r="A39" s="7" t="s">
        <v>116</v>
      </c>
      <c r="B39" s="7" t="s">
        <v>117</v>
      </c>
      <c r="C39" s="1">
        <v>4.0</v>
      </c>
      <c r="D39" s="1">
        <f t="shared" si="1"/>
        <v>6</v>
      </c>
      <c r="E39" s="1" t="s">
        <v>109</v>
      </c>
      <c r="F39" s="1">
        <v>8.0</v>
      </c>
      <c r="G39" s="9"/>
      <c r="H39" s="1" t="str">
        <f t="shared" si="2"/>
        <v>#REF!</v>
      </c>
      <c r="I39" s="10" t="str">
        <f>IFERROR(__xludf.DUMMYFUNCTION("if(or(L39=0),"""",IFERROR(TEXTJOIN("", "",
  TRUE,
  FILTER(
    TRIM(SPLIT(G39, "","")),
    MAP(
      TRIM(SPLIT(G39, "","")),
      LAMBDA(clave,
        COUNTIF('Asignaturas2026-2'!B:B, clave )&gt;0
      )
    )
  )
)))"),"#REF!")</f>
        <v>#REF!</v>
      </c>
      <c r="J39" s="11" t="s">
        <v>21</v>
      </c>
      <c r="K39" s="6" t="str">
        <f t="shared" si="3"/>
        <v>#REF!</v>
      </c>
      <c r="L39" s="6" t="str">
        <f t="shared" si="4"/>
        <v>#REF!</v>
      </c>
      <c r="M39" s="12">
        <v>1.0</v>
      </c>
      <c r="N39" s="6">
        <v>50.0</v>
      </c>
      <c r="O39" s="6">
        <v>4.0</v>
      </c>
      <c r="P39" s="6">
        <v>2.0</v>
      </c>
      <c r="Q39" s="6">
        <v>0.0</v>
      </c>
      <c r="R39" s="6">
        <v>0.0</v>
      </c>
    </row>
    <row r="40" ht="22.5" customHeight="1">
      <c r="A40" s="7" t="s">
        <v>118</v>
      </c>
      <c r="B40" s="7" t="s">
        <v>119</v>
      </c>
      <c r="C40" s="1">
        <v>4.0</v>
      </c>
      <c r="D40" s="1">
        <f t="shared" si="1"/>
        <v>6</v>
      </c>
      <c r="E40" s="1" t="s">
        <v>96</v>
      </c>
      <c r="F40" s="1">
        <v>8.0</v>
      </c>
      <c r="G40" s="9" t="s">
        <v>120</v>
      </c>
      <c r="H40" s="1" t="str">
        <f t="shared" si="2"/>
        <v>#REF!</v>
      </c>
      <c r="I40" s="10" t="str">
        <f>IFERROR(__xludf.DUMMYFUNCTION("if(or(L40=0),"""",IFERROR(TEXTJOIN("", "",
  TRUE,
  FILTER(
    TRIM(SPLIT(G40, "","")),
    MAP(
      TRIM(SPLIT(G40, "","")),
      LAMBDA(clave,
        COUNTIF('Asignaturas2026-2'!B:B, clave )&gt;0
      )
    )
  )
)))"),"#REF!")</f>
        <v>#REF!</v>
      </c>
      <c r="J40" s="11" t="s">
        <v>21</v>
      </c>
      <c r="K40" s="6" t="str">
        <f t="shared" si="3"/>
        <v>#REF!</v>
      </c>
      <c r="L40" s="6" t="str">
        <f t="shared" si="4"/>
        <v>#REF!</v>
      </c>
      <c r="M40" s="12">
        <v>1.0</v>
      </c>
      <c r="N40" s="6">
        <v>50.0</v>
      </c>
      <c r="O40" s="6">
        <v>4.0</v>
      </c>
      <c r="P40" s="6">
        <v>2.0</v>
      </c>
      <c r="Q40" s="6">
        <v>0.0</v>
      </c>
      <c r="R40" s="6">
        <v>0.0</v>
      </c>
    </row>
    <row r="41" ht="22.5" customHeight="1">
      <c r="A41" s="7" t="s">
        <v>121</v>
      </c>
      <c r="B41" s="7" t="s">
        <v>122</v>
      </c>
      <c r="C41" s="1">
        <v>4.0</v>
      </c>
      <c r="D41" s="1">
        <f t="shared" si="1"/>
        <v>6</v>
      </c>
      <c r="E41" s="1" t="s">
        <v>81</v>
      </c>
      <c r="F41" s="1">
        <v>8.0</v>
      </c>
      <c r="G41" s="9" t="s">
        <v>123</v>
      </c>
      <c r="H41" s="1" t="str">
        <f t="shared" si="2"/>
        <v>#REF!</v>
      </c>
      <c r="I41" s="10" t="str">
        <f>IFERROR(__xludf.DUMMYFUNCTION("if(or(L41=0),"""",IFERROR(TEXTJOIN("", "",
  TRUE,
  FILTER(
    TRIM(SPLIT(G41, "","")),
    MAP(
      TRIM(SPLIT(G41, "","")),
      LAMBDA(clave,
        COUNTIF('Asignaturas2026-2'!B:B, clave )&gt;0
      )
    )
  )
)))"),"#REF!")</f>
        <v>#REF!</v>
      </c>
      <c r="J41" s="11" t="s">
        <v>21</v>
      </c>
      <c r="K41" s="6" t="str">
        <f t="shared" si="3"/>
        <v>#REF!</v>
      </c>
      <c r="L41" s="6" t="str">
        <f t="shared" si="4"/>
        <v>#REF!</v>
      </c>
      <c r="M41" s="12">
        <v>1.0</v>
      </c>
      <c r="N41" s="6">
        <v>50.0</v>
      </c>
      <c r="O41" s="6">
        <v>4.0</v>
      </c>
      <c r="P41" s="6">
        <v>2.0</v>
      </c>
      <c r="Q41" s="6">
        <v>0.0</v>
      </c>
      <c r="R41" s="6">
        <v>0.0</v>
      </c>
    </row>
    <row r="42" ht="22.5" customHeight="1">
      <c r="A42" s="7" t="s">
        <v>124</v>
      </c>
      <c r="B42" s="7" t="s">
        <v>125</v>
      </c>
      <c r="C42" s="1">
        <v>3.0</v>
      </c>
      <c r="D42" s="1">
        <f t="shared" si="1"/>
        <v>4.5</v>
      </c>
      <c r="E42" s="1" t="s">
        <v>101</v>
      </c>
      <c r="F42" s="1">
        <v>9.0</v>
      </c>
      <c r="G42" s="9" t="s">
        <v>126</v>
      </c>
      <c r="H42" s="1" t="str">
        <f t="shared" si="2"/>
        <v>#REF!</v>
      </c>
      <c r="I42" s="10" t="str">
        <f>IFERROR(__xludf.DUMMYFUNCTION("if(or(L42=0),"""",IFERROR(TEXTJOIN("", "",
  TRUE,
  FILTER(
    TRIM(SPLIT(G42, "","")),
    MAP(
      TRIM(SPLIT(G42, "","")),
      LAMBDA(clave,
        COUNTIF('Asignaturas2026-2'!B:B, clave )&gt;0
      )
    )
  )
)))"),"#REF!")</f>
        <v>#REF!</v>
      </c>
      <c r="J42" s="11" t="s">
        <v>21</v>
      </c>
      <c r="K42" s="6" t="str">
        <f t="shared" si="3"/>
        <v>#REF!</v>
      </c>
      <c r="L42" s="6" t="str">
        <f t="shared" si="4"/>
        <v>#REF!</v>
      </c>
      <c r="M42" s="12">
        <v>1.0</v>
      </c>
      <c r="N42" s="6">
        <v>50.0</v>
      </c>
      <c r="O42" s="6">
        <v>4.0</v>
      </c>
      <c r="P42" s="6">
        <v>0.0</v>
      </c>
      <c r="Q42" s="6">
        <v>0.0</v>
      </c>
      <c r="R42" s="6">
        <v>0.0</v>
      </c>
    </row>
    <row r="43" ht="22.5" customHeight="1">
      <c r="A43" s="7" t="s">
        <v>127</v>
      </c>
      <c r="B43" s="7" t="s">
        <v>128</v>
      </c>
      <c r="C43" s="1">
        <v>3.0</v>
      </c>
      <c r="D43" s="1">
        <f t="shared" si="1"/>
        <v>4.5</v>
      </c>
      <c r="E43" s="1" t="s">
        <v>109</v>
      </c>
      <c r="F43" s="1">
        <v>9.0</v>
      </c>
      <c r="G43" s="9"/>
      <c r="H43" s="1" t="str">
        <f t="shared" si="2"/>
        <v>#REF!</v>
      </c>
      <c r="I43" s="10" t="str">
        <f>IFERROR(__xludf.DUMMYFUNCTION("if(or(L43=0),"""",IFERROR(TEXTJOIN("", "",
  TRUE,
  FILTER(
    TRIM(SPLIT(G43, "","")),
    MAP(
      TRIM(SPLIT(G43, "","")),
      LAMBDA(clave,
        COUNTIF('Asignaturas2026-2'!B:B, clave )&gt;0
      )
    )
  )
)))"),"#REF!")</f>
        <v>#REF!</v>
      </c>
      <c r="J43" s="11" t="s">
        <v>21</v>
      </c>
      <c r="K43" s="6" t="str">
        <f t="shared" si="3"/>
        <v>#REF!</v>
      </c>
      <c r="L43" s="6" t="str">
        <f t="shared" si="4"/>
        <v>#REF!</v>
      </c>
      <c r="M43" s="12">
        <v>1.0</v>
      </c>
      <c r="N43" s="6">
        <v>50.0</v>
      </c>
      <c r="O43" s="6">
        <v>4.0</v>
      </c>
      <c r="P43" s="6">
        <v>0.0</v>
      </c>
      <c r="Q43" s="6">
        <v>0.0</v>
      </c>
      <c r="R43" s="6">
        <v>0.0</v>
      </c>
    </row>
    <row r="44" ht="22.5" customHeight="1">
      <c r="A44" s="7" t="s">
        <v>129</v>
      </c>
      <c r="B44" s="7" t="s">
        <v>130</v>
      </c>
      <c r="C44" s="1">
        <v>3.0</v>
      </c>
      <c r="D44" s="1">
        <f t="shared" si="1"/>
        <v>4.5</v>
      </c>
      <c r="E44" s="8"/>
      <c r="F44" s="1">
        <v>9.0</v>
      </c>
      <c r="G44" s="9" t="s">
        <v>131</v>
      </c>
      <c r="H44" s="1" t="str">
        <f t="shared" si="2"/>
        <v>#REF!</v>
      </c>
      <c r="I44" s="10" t="str">
        <f>IFERROR(__xludf.DUMMYFUNCTION("if(or(L44=0),"""",IFERROR(TEXTJOIN("", "",
  TRUE,
  FILTER(
    TRIM(SPLIT(G44, "","")),
    MAP(
      TRIM(SPLIT(G44, "","")),
      LAMBDA(clave,
        COUNTIF('Asignaturas2026-2'!B:B, clave )&gt;0
      )
    )
  )
)))"),"#REF!")</f>
        <v>#REF!</v>
      </c>
      <c r="J44" s="11" t="s">
        <v>21</v>
      </c>
      <c r="K44" s="6" t="str">
        <f t="shared" si="3"/>
        <v>#REF!</v>
      </c>
      <c r="L44" s="6" t="str">
        <f t="shared" si="4"/>
        <v>#REF!</v>
      </c>
      <c r="M44" s="12">
        <v>1.0</v>
      </c>
      <c r="N44" s="6">
        <v>50.0</v>
      </c>
      <c r="O44" s="6">
        <v>4.0</v>
      </c>
      <c r="P44" s="6">
        <v>0.0</v>
      </c>
      <c r="Q44" s="6">
        <v>0.0</v>
      </c>
      <c r="R44" s="6">
        <v>0.0</v>
      </c>
    </row>
    <row r="45" ht="22.5" customHeight="1">
      <c r="A45" s="7" t="s">
        <v>132</v>
      </c>
      <c r="B45" s="7" t="s">
        <v>133</v>
      </c>
      <c r="C45" s="1">
        <v>4.0</v>
      </c>
      <c r="D45" s="1">
        <f t="shared" si="1"/>
        <v>6</v>
      </c>
      <c r="E45" s="1" t="s">
        <v>118</v>
      </c>
      <c r="F45" s="1">
        <v>9.0</v>
      </c>
      <c r="G45" s="9"/>
      <c r="H45" s="1" t="str">
        <f t="shared" si="2"/>
        <v>#REF!</v>
      </c>
      <c r="I45" s="10" t="str">
        <f>IFERROR(__xludf.DUMMYFUNCTION("if(or(L45=0),"""",IFERROR(TEXTJOIN("", "",
  TRUE,
  FILTER(
    TRIM(SPLIT(G45, "","")),
    MAP(
      TRIM(SPLIT(G45, "","")),
      LAMBDA(clave,
        COUNTIF('Asignaturas2026-2'!B:B, clave )&gt;0
      )
    )
  )
)))"),"#REF!")</f>
        <v>#REF!</v>
      </c>
      <c r="J45" s="11" t="s">
        <v>21</v>
      </c>
      <c r="K45" s="6" t="str">
        <f t="shared" si="3"/>
        <v>#REF!</v>
      </c>
      <c r="L45" s="6" t="str">
        <f t="shared" si="4"/>
        <v>#REF!</v>
      </c>
      <c r="M45" s="12">
        <v>1.0</v>
      </c>
      <c r="N45" s="6">
        <v>50.0</v>
      </c>
      <c r="O45" s="6">
        <v>4.0</v>
      </c>
      <c r="P45" s="6">
        <v>2.0</v>
      </c>
      <c r="Q45" s="6">
        <v>0.0</v>
      </c>
      <c r="R45" s="6">
        <v>0.0</v>
      </c>
    </row>
    <row r="46" ht="22.5" customHeight="1">
      <c r="A46" s="7" t="s">
        <v>134</v>
      </c>
      <c r="B46" s="7" t="s">
        <v>135</v>
      </c>
      <c r="C46" s="1">
        <v>4.0</v>
      </c>
      <c r="D46" s="1">
        <f t="shared" si="1"/>
        <v>6</v>
      </c>
      <c r="E46" s="1" t="s">
        <v>109</v>
      </c>
      <c r="F46" s="1">
        <v>9.0</v>
      </c>
      <c r="G46" s="9"/>
      <c r="H46" s="1" t="str">
        <f t="shared" si="2"/>
        <v>#REF!</v>
      </c>
      <c r="I46" s="10" t="str">
        <f>IFERROR(__xludf.DUMMYFUNCTION("if(or(L46=0),"""",IFERROR(TEXTJOIN("", "",
  TRUE,
  FILTER(
    TRIM(SPLIT(G46, "","")),
    MAP(
      TRIM(SPLIT(G46, "","")),
      LAMBDA(clave,
        COUNTIF('Asignaturas2026-2'!B:B, clave )&gt;0
      )
    )
  )
)))"),"#REF!")</f>
        <v>#REF!</v>
      </c>
      <c r="J46" s="11" t="s">
        <v>21</v>
      </c>
      <c r="K46" s="6" t="str">
        <f t="shared" si="3"/>
        <v>#REF!</v>
      </c>
      <c r="L46" s="6" t="str">
        <f t="shared" si="4"/>
        <v>#REF!</v>
      </c>
      <c r="M46" s="12">
        <v>1.0</v>
      </c>
      <c r="N46" s="6">
        <v>50.0</v>
      </c>
      <c r="O46" s="6">
        <v>4.0</v>
      </c>
      <c r="P46" s="6">
        <v>2.0</v>
      </c>
      <c r="Q46" s="6">
        <v>0.0</v>
      </c>
      <c r="R46" s="6">
        <v>0.0</v>
      </c>
    </row>
    <row r="47" ht="22.5" customHeight="1">
      <c r="A47" s="7" t="s">
        <v>136</v>
      </c>
      <c r="B47" s="7" t="s">
        <v>137</v>
      </c>
      <c r="C47" s="1">
        <v>3.0</v>
      </c>
      <c r="D47" s="1">
        <f t="shared" si="1"/>
        <v>4.5</v>
      </c>
      <c r="E47" s="1" t="s">
        <v>129</v>
      </c>
      <c r="F47" s="1">
        <v>10.0</v>
      </c>
      <c r="G47" s="9" t="s">
        <v>138</v>
      </c>
      <c r="H47" s="1" t="str">
        <f t="shared" si="2"/>
        <v>#REF!</v>
      </c>
      <c r="I47" s="10" t="str">
        <f>IFERROR(__xludf.DUMMYFUNCTION("if(or(L47=0),"""",IFERROR(TEXTJOIN("", "",
  TRUE,
  FILTER(
    TRIM(SPLIT(G47, "","")),
    MAP(
      TRIM(SPLIT(G47, "","")),
      LAMBDA(clave,
        COUNTIF('Asignaturas2026-2'!B:B, clave )&gt;0
      )
    )
  )
)))"),"#REF!")</f>
        <v>#REF!</v>
      </c>
      <c r="J47" s="11" t="s">
        <v>21</v>
      </c>
      <c r="K47" s="6" t="str">
        <f t="shared" si="3"/>
        <v>#REF!</v>
      </c>
      <c r="L47" s="6" t="str">
        <f t="shared" si="4"/>
        <v>#REF!</v>
      </c>
      <c r="M47" s="12">
        <v>1.0</v>
      </c>
      <c r="N47" s="6">
        <v>50.0</v>
      </c>
      <c r="O47" s="6">
        <v>4.0</v>
      </c>
      <c r="P47" s="6">
        <v>0.0</v>
      </c>
      <c r="Q47" s="6">
        <v>0.0</v>
      </c>
      <c r="R47" s="6">
        <v>0.0</v>
      </c>
    </row>
    <row r="48" ht="22.5" customHeight="1">
      <c r="A48" s="7" t="s">
        <v>139</v>
      </c>
      <c r="B48" s="7" t="s">
        <v>140</v>
      </c>
      <c r="C48" s="1">
        <v>4.0</v>
      </c>
      <c r="D48" s="1">
        <f t="shared" si="1"/>
        <v>6</v>
      </c>
      <c r="E48" s="1" t="s">
        <v>132</v>
      </c>
      <c r="F48" s="1">
        <v>10.0</v>
      </c>
      <c r="G48" s="9"/>
      <c r="H48" s="1" t="str">
        <f t="shared" si="2"/>
        <v>#REF!</v>
      </c>
      <c r="I48" s="10" t="str">
        <f>IFERROR(__xludf.DUMMYFUNCTION("if(or(L48=0),"""",IFERROR(TEXTJOIN("", "",
  TRUE,
  FILTER(
    TRIM(SPLIT(G48, "","")),
    MAP(
      TRIM(SPLIT(G48, "","")),
      LAMBDA(clave,
        COUNTIF('Asignaturas2026-2'!B:B, clave )&gt;0
      )
    )
  )
)))"),"#REF!")</f>
        <v>#REF!</v>
      </c>
      <c r="J48" s="11" t="s">
        <v>21</v>
      </c>
      <c r="K48" s="6" t="str">
        <f t="shared" si="3"/>
        <v>#REF!</v>
      </c>
      <c r="L48" s="6" t="str">
        <f t="shared" si="4"/>
        <v>#REF!</v>
      </c>
      <c r="M48" s="12">
        <v>1.0</v>
      </c>
      <c r="N48" s="6">
        <v>50.0</v>
      </c>
      <c r="O48" s="6">
        <v>4.0</v>
      </c>
      <c r="P48" s="6">
        <v>2.0</v>
      </c>
      <c r="Q48" s="6">
        <v>0.0</v>
      </c>
      <c r="R48" s="6">
        <v>0.0</v>
      </c>
    </row>
    <row r="49" ht="22.5" customHeight="1">
      <c r="A49" s="7" t="s">
        <v>141</v>
      </c>
      <c r="B49" s="7" t="s">
        <v>142</v>
      </c>
      <c r="C49" s="1">
        <v>5.0</v>
      </c>
      <c r="D49" s="1">
        <f t="shared" si="1"/>
        <v>7.5</v>
      </c>
      <c r="E49" s="1" t="s">
        <v>121</v>
      </c>
      <c r="F49" s="1">
        <v>10.0</v>
      </c>
      <c r="G49" s="9"/>
      <c r="H49" s="1" t="str">
        <f t="shared" si="2"/>
        <v>#REF!</v>
      </c>
      <c r="I49" s="10" t="str">
        <f>IFERROR(__xludf.DUMMYFUNCTION("if(or(L49=0),"""",IFERROR(TEXTJOIN("", "",
  TRUE,
  FILTER(
    TRIM(SPLIT(G49, "","")),
    MAP(
      TRIM(SPLIT(G49, "","")),
      LAMBDA(clave,
        COUNTIF('Asignaturas2026-2'!B:B, clave )&gt;0
      )
    )
  )
)))"),"#REF!")</f>
        <v>#REF!</v>
      </c>
      <c r="J49" s="11" t="s">
        <v>21</v>
      </c>
      <c r="K49" s="6" t="str">
        <f t="shared" si="3"/>
        <v>#REF!</v>
      </c>
      <c r="L49" s="6" t="str">
        <f t="shared" si="4"/>
        <v>#REF!</v>
      </c>
      <c r="M49" s="12">
        <v>1.0</v>
      </c>
      <c r="N49" s="6">
        <v>5.0</v>
      </c>
      <c r="O49" s="6">
        <v>0.0</v>
      </c>
      <c r="P49" s="6">
        <v>0.0</v>
      </c>
      <c r="Q49" s="6">
        <v>0.0</v>
      </c>
      <c r="R49" s="6">
        <v>0.0</v>
      </c>
    </row>
    <row r="50" ht="22.5" customHeight="1">
      <c r="A50" s="7" t="s">
        <v>143</v>
      </c>
      <c r="B50" s="7" t="s">
        <v>144</v>
      </c>
      <c r="C50" s="1">
        <v>3.0</v>
      </c>
      <c r="D50" s="1">
        <f t="shared" si="1"/>
        <v>4.5</v>
      </c>
      <c r="E50" s="1" t="s">
        <v>136</v>
      </c>
      <c r="F50" s="1">
        <v>11.0</v>
      </c>
      <c r="G50" s="9"/>
      <c r="H50" s="1" t="str">
        <f t="shared" si="2"/>
        <v>#REF!</v>
      </c>
      <c r="I50" s="10" t="str">
        <f>IFERROR(__xludf.DUMMYFUNCTION("if(or(L50=0),"""",IFERROR(TEXTJOIN("", "",
  TRUE,
  FILTER(
    TRIM(SPLIT(G50, "","")),
    MAP(
      TRIM(SPLIT(G50, "","")),
      LAMBDA(clave,
        COUNTIF('Asignaturas2026-2'!B:B, clave )&gt;0
      )
    )
  )
)))"),"#REF!")</f>
        <v>#REF!</v>
      </c>
      <c r="J50" s="11" t="s">
        <v>21</v>
      </c>
      <c r="K50" s="6" t="str">
        <f t="shared" si="3"/>
        <v>#REF!</v>
      </c>
      <c r="L50" s="6" t="str">
        <f t="shared" si="4"/>
        <v>#REF!</v>
      </c>
      <c r="M50" s="12">
        <v>1.0</v>
      </c>
      <c r="N50" s="6">
        <v>50.0</v>
      </c>
      <c r="O50" s="6">
        <v>4.0</v>
      </c>
      <c r="P50" s="6">
        <v>0.0</v>
      </c>
      <c r="Q50" s="6">
        <v>0.0</v>
      </c>
      <c r="R50" s="6">
        <v>0.0</v>
      </c>
    </row>
    <row r="51" ht="22.5" customHeight="1">
      <c r="A51" s="7" t="s">
        <v>145</v>
      </c>
      <c r="B51" s="7" t="s">
        <v>146</v>
      </c>
      <c r="C51" s="1">
        <v>12.0</v>
      </c>
      <c r="D51" s="1">
        <f t="shared" si="1"/>
        <v>18</v>
      </c>
      <c r="E51" s="1" t="s">
        <v>141</v>
      </c>
      <c r="F51" s="1">
        <v>11.0</v>
      </c>
      <c r="G51" s="9"/>
      <c r="H51" s="1" t="str">
        <f t="shared" si="2"/>
        <v>#REF!</v>
      </c>
      <c r="I51" s="10" t="str">
        <f>IFERROR(__xludf.DUMMYFUNCTION("if(or(L51=0),"""",IFERROR(TEXTJOIN("", "",
  TRUE,
  FILTER(
    TRIM(SPLIT(G51, "","")),
    MAP(
      TRIM(SPLIT(G51, "","")),
      LAMBDA(clave,
        COUNTIF('Asignaturas2026-2'!B:B, clave )&gt;0
      )
    )
  )
)))"),"#REF!")</f>
        <v>#REF!</v>
      </c>
      <c r="J51" s="11" t="s">
        <v>21</v>
      </c>
      <c r="K51" s="6" t="str">
        <f t="shared" si="3"/>
        <v>#REF!</v>
      </c>
      <c r="L51" s="6" t="str">
        <f t="shared" si="4"/>
        <v>#REF!</v>
      </c>
      <c r="M51" s="12">
        <v>1.0</v>
      </c>
      <c r="N51" s="6">
        <v>5.0</v>
      </c>
      <c r="O51" s="6">
        <v>2.0</v>
      </c>
      <c r="P51" s="6">
        <v>0.0</v>
      </c>
      <c r="Q51" s="6">
        <v>0.0</v>
      </c>
      <c r="R51" s="6">
        <v>0.0</v>
      </c>
    </row>
    <row r="52" ht="22.5" customHeight="1">
      <c r="A52" s="7" t="s">
        <v>20</v>
      </c>
      <c r="B52" s="7" t="s">
        <v>19</v>
      </c>
      <c r="C52" s="1">
        <v>2.0</v>
      </c>
      <c r="D52" s="1">
        <f t="shared" si="1"/>
        <v>3</v>
      </c>
      <c r="E52" s="8"/>
      <c r="F52" s="1">
        <v>1.0</v>
      </c>
      <c r="G52" s="9" t="s">
        <v>18</v>
      </c>
      <c r="H52" s="1" t="str">
        <f t="shared" si="2"/>
        <v>#REF!</v>
      </c>
      <c r="I52" s="10" t="str">
        <f>IFERROR(__xludf.DUMMYFUNCTION("if(or(L52=0),"""",IFERROR(TEXTJOIN("", "",
  TRUE,
  FILTER(
    TRIM(SPLIT(G52, "","")),
    MAP(
      TRIM(SPLIT(G52, "","")),
      LAMBDA(clave,
        COUNTIF('Asignaturas2026-2'!B:B, clave )&gt;0
      )
    )
  )
)))"),"#REF!")</f>
        <v>#REF!</v>
      </c>
      <c r="J52" s="11" t="s">
        <v>147</v>
      </c>
      <c r="K52" s="6" t="str">
        <f t="shared" si="3"/>
        <v>#REF!</v>
      </c>
      <c r="L52" s="6" t="str">
        <f t="shared" si="4"/>
        <v>#REF!</v>
      </c>
      <c r="M52" s="12">
        <v>0.9066666666666667</v>
      </c>
      <c r="N52" s="6" t="s">
        <v>148</v>
      </c>
      <c r="O52" s="6">
        <v>2.0</v>
      </c>
      <c r="P52" s="6">
        <v>0.0</v>
      </c>
      <c r="Q52" s="6">
        <v>0.0</v>
      </c>
      <c r="R52" s="6">
        <v>0.0</v>
      </c>
    </row>
    <row r="53" ht="22.5" customHeight="1">
      <c r="A53" s="7" t="s">
        <v>149</v>
      </c>
      <c r="B53" s="7" t="s">
        <v>23</v>
      </c>
      <c r="C53" s="1">
        <v>4.0</v>
      </c>
      <c r="D53" s="1">
        <f t="shared" si="1"/>
        <v>6</v>
      </c>
      <c r="E53" s="8"/>
      <c r="F53" s="1">
        <v>1.0</v>
      </c>
      <c r="G53" s="9" t="s">
        <v>150</v>
      </c>
      <c r="H53" s="1" t="str">
        <f t="shared" si="2"/>
        <v>#REF!</v>
      </c>
      <c r="I53" s="10" t="str">
        <f>IFERROR(__xludf.DUMMYFUNCTION("if(or(L53=0),"""",IFERROR(TEXTJOIN("", "",
  TRUE,
  FILTER(
    TRIM(SPLIT(G53, "","")),
    MAP(
      TRIM(SPLIT(G53, "","")),
      LAMBDA(clave,
        COUNTIF('Asignaturas2026-2'!B:B, clave )&gt;0
      )
    )
  )
)))"),"#REF!")</f>
        <v>#REF!</v>
      </c>
      <c r="J53" s="11" t="s">
        <v>147</v>
      </c>
      <c r="K53" s="6" t="str">
        <f t="shared" si="3"/>
        <v>#REF!</v>
      </c>
      <c r="L53" s="6" t="str">
        <f t="shared" si="4"/>
        <v>#REF!</v>
      </c>
      <c r="M53" s="24">
        <v>0.6525</v>
      </c>
      <c r="N53" s="6">
        <v>27.0</v>
      </c>
      <c r="O53" s="6">
        <v>4.0</v>
      </c>
      <c r="P53" s="6">
        <v>2.0</v>
      </c>
      <c r="Q53" s="6">
        <v>0.0</v>
      </c>
      <c r="R53" s="6">
        <v>0.0</v>
      </c>
    </row>
    <row r="54" ht="22.5" customHeight="1">
      <c r="A54" s="7" t="s">
        <v>151</v>
      </c>
      <c r="B54" s="7" t="s">
        <v>152</v>
      </c>
      <c r="C54" s="1">
        <v>4.0</v>
      </c>
      <c r="D54" s="1">
        <f t="shared" si="1"/>
        <v>6</v>
      </c>
      <c r="E54" s="8"/>
      <c r="F54" s="1">
        <v>1.0</v>
      </c>
      <c r="G54" s="9" t="s">
        <v>27</v>
      </c>
      <c r="H54" s="1" t="str">
        <f t="shared" si="2"/>
        <v>#REF!</v>
      </c>
      <c r="I54" s="10" t="str">
        <f>IFERROR(__xludf.DUMMYFUNCTION("if(or(L54=0),"""",IFERROR(TEXTJOIN("", "",
  TRUE,
  FILTER(
    TRIM(SPLIT(G54, "","")),
    MAP(
      TRIM(SPLIT(G54, "","")),
      LAMBDA(clave,
        COUNTIF('Asignaturas2026-2'!B:B, clave )&gt;0
      )
    )
  )
)))"),"#REF!")</f>
        <v>#REF!</v>
      </c>
      <c r="J54" s="11" t="s">
        <v>147</v>
      </c>
      <c r="K54" s="6" t="str">
        <f t="shared" si="3"/>
        <v>#REF!</v>
      </c>
      <c r="L54" s="6" t="str">
        <f t="shared" si="4"/>
        <v>#REF!</v>
      </c>
      <c r="M54" s="12">
        <v>0.9533333333333333</v>
      </c>
      <c r="N54" s="6">
        <v>50.0</v>
      </c>
      <c r="O54" s="6">
        <v>2.0</v>
      </c>
      <c r="P54" s="6">
        <v>0.0</v>
      </c>
      <c r="Q54" s="13">
        <v>2.0</v>
      </c>
      <c r="R54" s="6">
        <v>0.0</v>
      </c>
    </row>
    <row r="55" ht="22.5" customHeight="1">
      <c r="A55" s="7" t="s">
        <v>28</v>
      </c>
      <c r="B55" s="7" t="s">
        <v>29</v>
      </c>
      <c r="C55" s="1">
        <v>6.0</v>
      </c>
      <c r="D55" s="1">
        <f t="shared" si="1"/>
        <v>9</v>
      </c>
      <c r="E55" s="8"/>
      <c r="F55" s="1">
        <v>1.0</v>
      </c>
      <c r="G55" s="9" t="s">
        <v>153</v>
      </c>
      <c r="H55" s="1" t="str">
        <f t="shared" si="2"/>
        <v>#REF!</v>
      </c>
      <c r="I55" s="10" t="str">
        <f>IFERROR(__xludf.DUMMYFUNCTION("if(or(L55=0),"""",IFERROR(TEXTJOIN("", "",
  TRUE,
  FILTER(
    TRIM(SPLIT(G55, "","")),
    MAP(
      TRIM(SPLIT(G55, "","")),
      LAMBDA(clave,
        COUNTIF('Asignaturas2026-2'!B:B, clave )&gt;0
      )
    )
  )
)))"),"#REF!")</f>
        <v>#REF!</v>
      </c>
      <c r="J55" s="11" t="s">
        <v>147</v>
      </c>
      <c r="K55" s="6" t="str">
        <f t="shared" si="3"/>
        <v>#REF!</v>
      </c>
      <c r="L55" s="6" t="str">
        <f t="shared" si="4"/>
        <v>#REF!</v>
      </c>
      <c r="M55" s="12">
        <v>0.7</v>
      </c>
      <c r="N55" s="6">
        <v>50.0</v>
      </c>
      <c r="O55" s="6">
        <v>6.0</v>
      </c>
      <c r="P55" s="6">
        <v>0.0</v>
      </c>
      <c r="Q55" s="6">
        <v>4.0</v>
      </c>
      <c r="R55" s="6">
        <v>0.0</v>
      </c>
    </row>
    <row r="56" ht="22.5" customHeight="1">
      <c r="A56" s="7" t="s">
        <v>31</v>
      </c>
      <c r="B56" s="7" t="s">
        <v>32</v>
      </c>
      <c r="C56" s="1">
        <v>3.0</v>
      </c>
      <c r="D56" s="1">
        <f t="shared" si="1"/>
        <v>4.5</v>
      </c>
      <c r="E56" s="8"/>
      <c r="F56" s="1">
        <v>2.0</v>
      </c>
      <c r="G56" s="9" t="s">
        <v>33</v>
      </c>
      <c r="H56" s="1" t="str">
        <f t="shared" si="2"/>
        <v>#REF!</v>
      </c>
      <c r="I56" s="10" t="str">
        <f>IFERROR(__xludf.DUMMYFUNCTION("if(or(L56=0),"""",IFERROR(TEXTJOIN("", "",
  TRUE,
  FILTER(
    TRIM(SPLIT(G56, "","")),
    MAP(
      TRIM(SPLIT(G56, "","")),
      LAMBDA(clave,
        COUNTIF('Asignaturas2026-2'!B:B, clave )&gt;0
      )
    )
  )
)))"),"#REF!")</f>
        <v>#REF!</v>
      </c>
      <c r="J56" s="11" t="s">
        <v>147</v>
      </c>
      <c r="K56" s="6" t="str">
        <f t="shared" si="3"/>
        <v>#REF!</v>
      </c>
      <c r="L56" s="6" t="str">
        <f t="shared" si="4"/>
        <v>#REF!</v>
      </c>
      <c r="M56" s="12">
        <v>1.0</v>
      </c>
      <c r="N56" s="6">
        <v>50.0</v>
      </c>
      <c r="O56" s="6">
        <v>2.0</v>
      </c>
      <c r="P56" s="6">
        <v>0.0</v>
      </c>
      <c r="Q56" s="13">
        <v>2.0</v>
      </c>
      <c r="R56" s="6">
        <v>0.0</v>
      </c>
    </row>
    <row r="57" ht="22.5" customHeight="1">
      <c r="A57" s="7" t="s">
        <v>154</v>
      </c>
      <c r="B57" s="7" t="s">
        <v>35</v>
      </c>
      <c r="C57" s="1">
        <v>4.0</v>
      </c>
      <c r="D57" s="1">
        <f t="shared" si="1"/>
        <v>6</v>
      </c>
      <c r="E57" s="1" t="s">
        <v>149</v>
      </c>
      <c r="F57" s="1">
        <v>2.0</v>
      </c>
      <c r="G57" s="9" t="s">
        <v>155</v>
      </c>
      <c r="H57" s="1" t="str">
        <f t="shared" si="2"/>
        <v>#REF!</v>
      </c>
      <c r="I57" s="10" t="str">
        <f>IFERROR(__xludf.DUMMYFUNCTION("if(or(L57=0),"""",IFERROR(TEXTJOIN("", "",
  TRUE,
  FILTER(
    TRIM(SPLIT(G57, "","")),
    MAP(
      TRIM(SPLIT(G57, "","")),
      LAMBDA(clave,
        COUNTIF('Asignaturas2026-2'!B:B, clave )&gt;0
      )
    )
  )
)))"),"#REF!")</f>
        <v>#REF!</v>
      </c>
      <c r="J57" s="11" t="s">
        <v>147</v>
      </c>
      <c r="K57" s="6" t="str">
        <f t="shared" si="3"/>
        <v>#REF!</v>
      </c>
      <c r="L57" s="6" t="str">
        <f t="shared" si="4"/>
        <v>#REF!</v>
      </c>
      <c r="M57" s="12">
        <v>0.55</v>
      </c>
      <c r="N57" s="6">
        <v>30.0</v>
      </c>
      <c r="O57" s="6">
        <v>4.0</v>
      </c>
      <c r="P57" s="6">
        <v>2.0</v>
      </c>
      <c r="Q57" s="6">
        <v>0.0</v>
      </c>
      <c r="R57" s="6">
        <v>0.0</v>
      </c>
    </row>
    <row r="58" ht="22.5" customHeight="1">
      <c r="A58" s="7" t="s">
        <v>37</v>
      </c>
      <c r="B58" s="7" t="s">
        <v>38</v>
      </c>
      <c r="C58" s="1">
        <v>6.0</v>
      </c>
      <c r="D58" s="1">
        <f t="shared" si="1"/>
        <v>9</v>
      </c>
      <c r="E58" s="1" t="s">
        <v>28</v>
      </c>
      <c r="F58" s="1">
        <v>2.0</v>
      </c>
      <c r="G58" s="9" t="s">
        <v>156</v>
      </c>
      <c r="H58" s="1" t="str">
        <f t="shared" si="2"/>
        <v>#REF!</v>
      </c>
      <c r="I58" s="10" t="str">
        <f>IFERROR(__xludf.DUMMYFUNCTION("if(or(L58=0),"""",IFERROR(TEXTJOIN("", "",
  TRUE,
  FILTER(
    TRIM(SPLIT(G58, "","")),
    MAP(
      TRIM(SPLIT(G58, "","")),
      LAMBDA(clave,
        COUNTIF('Asignaturas2026-2'!B:B, clave )&gt;0
      )
    )
  )
)))"),"#REF!")</f>
        <v>#REF!</v>
      </c>
      <c r="J58" s="11" t="s">
        <v>147</v>
      </c>
      <c r="K58" s="6" t="str">
        <f t="shared" si="3"/>
        <v>#REF!</v>
      </c>
      <c r="L58" s="6" t="str">
        <f t="shared" si="4"/>
        <v>#REF!</v>
      </c>
      <c r="M58" s="12">
        <v>0.4</v>
      </c>
      <c r="N58" s="6">
        <v>50.0</v>
      </c>
      <c r="O58" s="6">
        <v>6.0</v>
      </c>
      <c r="P58" s="6">
        <v>0.0</v>
      </c>
      <c r="Q58" s="6">
        <v>4.0</v>
      </c>
      <c r="R58" s="6">
        <v>0.0</v>
      </c>
    </row>
    <row r="59" ht="22.5" customHeight="1">
      <c r="A59" s="7" t="s">
        <v>40</v>
      </c>
      <c r="B59" s="7" t="s">
        <v>41</v>
      </c>
      <c r="C59" s="1">
        <v>4.0</v>
      </c>
      <c r="D59" s="1">
        <f t="shared" si="1"/>
        <v>6</v>
      </c>
      <c r="E59" s="1" t="s">
        <v>28</v>
      </c>
      <c r="F59" s="1">
        <v>2.0</v>
      </c>
      <c r="G59" s="9" t="s">
        <v>157</v>
      </c>
      <c r="H59" s="1" t="str">
        <f t="shared" si="2"/>
        <v>#REF!</v>
      </c>
      <c r="I59" s="10" t="str">
        <f>IFERROR(__xludf.DUMMYFUNCTION("if(or(L59=0),"""",IFERROR(TEXTJOIN("", "",
  TRUE,
  FILTER(
    TRIM(SPLIT(G59, "","")),
    MAP(
      TRIM(SPLIT(G59, "","")),
      LAMBDA(clave,
        COUNTIF('Asignaturas2026-2'!B:B, clave )&gt;0
      )
    )
  )
)))"),"#REF!")</f>
        <v>#REF!</v>
      </c>
      <c r="J59" s="11" t="s">
        <v>147</v>
      </c>
      <c r="K59" s="6" t="str">
        <f t="shared" si="3"/>
        <v>#REF!</v>
      </c>
      <c r="L59" s="6" t="str">
        <f t="shared" si="4"/>
        <v>#REF!</v>
      </c>
      <c r="M59" s="12">
        <v>0.6</v>
      </c>
      <c r="N59" s="6">
        <v>50.0</v>
      </c>
      <c r="O59" s="6">
        <v>4.0</v>
      </c>
      <c r="P59" s="6">
        <v>0.0</v>
      </c>
      <c r="Q59" s="6">
        <v>2.0</v>
      </c>
      <c r="R59" s="6">
        <v>0.0</v>
      </c>
    </row>
    <row r="60" ht="22.5" customHeight="1">
      <c r="A60" s="14" t="s">
        <v>43</v>
      </c>
      <c r="B60" s="15" t="s">
        <v>44</v>
      </c>
      <c r="C60" s="16">
        <v>2.0</v>
      </c>
      <c r="D60" s="16">
        <f t="shared" si="1"/>
        <v>3</v>
      </c>
      <c r="E60" s="17"/>
      <c r="F60" s="16">
        <v>3.0</v>
      </c>
      <c r="G60" s="19" t="s">
        <v>44</v>
      </c>
      <c r="H60" s="1" t="str">
        <f t="shared" si="2"/>
        <v>#REF!</v>
      </c>
      <c r="I60" s="10" t="str">
        <f>IFERROR(__xludf.DUMMYFUNCTION("if(or(L60=0),"""",IFERROR(TEXTJOIN("", "",
  TRUE,
  FILTER(
    TRIM(SPLIT(G60, "","")),
    MAP(
      TRIM(SPLIT(G60, "","")),
      LAMBDA(clave,
        COUNTIF('Asignaturas2026-2'!B:B, clave )&gt;0
      )
    )
  )
)))"),"#REF!")</f>
        <v>#REF!</v>
      </c>
      <c r="J60" s="20" t="s">
        <v>147</v>
      </c>
      <c r="K60" s="21" t="str">
        <f t="shared" si="3"/>
        <v>#REF!</v>
      </c>
      <c r="L60" s="21" t="str">
        <f t="shared" si="4"/>
        <v>#REF!</v>
      </c>
      <c r="M60" s="22">
        <v>1.0</v>
      </c>
      <c r="N60" s="17"/>
      <c r="O60" s="21">
        <v>2.0</v>
      </c>
      <c r="P60" s="21">
        <v>0.0</v>
      </c>
      <c r="Q60" s="21">
        <v>0.0</v>
      </c>
      <c r="R60" s="21">
        <v>0.0</v>
      </c>
    </row>
    <row r="61" ht="22.5" customHeight="1">
      <c r="A61" s="7" t="s">
        <v>158</v>
      </c>
      <c r="B61" s="7" t="s">
        <v>95</v>
      </c>
      <c r="C61" s="1">
        <v>4.0</v>
      </c>
      <c r="D61" s="1">
        <f t="shared" si="1"/>
        <v>6</v>
      </c>
      <c r="E61" s="1" t="s">
        <v>37</v>
      </c>
      <c r="F61" s="1">
        <v>3.0</v>
      </c>
      <c r="G61" s="9"/>
      <c r="H61" s="1" t="str">
        <f t="shared" si="2"/>
        <v>#REF!</v>
      </c>
      <c r="I61" s="10" t="str">
        <f>IFERROR(__xludf.DUMMYFUNCTION("if(or(L61=0),"""",IFERROR(TEXTJOIN("", "",
  TRUE,
  FILTER(
    TRIM(SPLIT(G61, "","")),
    MAP(
      TRIM(SPLIT(G61, "","")),
      LAMBDA(clave,
        COUNTIF('Asignaturas2026-2'!B:B, clave )&gt;0
      )
    )
  )
)))"),"#REF!")</f>
        <v>#REF!</v>
      </c>
      <c r="J61" s="11" t="s">
        <v>147</v>
      </c>
      <c r="K61" s="6" t="str">
        <f t="shared" si="3"/>
        <v>#REF!</v>
      </c>
      <c r="L61" s="6" t="str">
        <f t="shared" si="4"/>
        <v>#REF!</v>
      </c>
      <c r="M61" s="12">
        <v>0.9766666666666666</v>
      </c>
      <c r="N61" s="6">
        <v>50.0</v>
      </c>
      <c r="O61" s="6">
        <v>2.0</v>
      </c>
      <c r="P61" s="6">
        <v>2.0</v>
      </c>
      <c r="Q61" s="6">
        <v>2.0</v>
      </c>
      <c r="R61" s="6">
        <v>0.0</v>
      </c>
    </row>
    <row r="62" ht="22.5" customHeight="1">
      <c r="A62" s="7" t="s">
        <v>159</v>
      </c>
      <c r="B62" s="7" t="s">
        <v>49</v>
      </c>
      <c r="C62" s="1">
        <v>4.0</v>
      </c>
      <c r="D62" s="1">
        <f t="shared" si="1"/>
        <v>6</v>
      </c>
      <c r="E62" s="1" t="s">
        <v>154</v>
      </c>
      <c r="F62" s="1">
        <v>3.0</v>
      </c>
      <c r="G62" s="9" t="s">
        <v>160</v>
      </c>
      <c r="H62" s="1" t="str">
        <f t="shared" si="2"/>
        <v>#REF!</v>
      </c>
      <c r="I62" s="10" t="str">
        <f>IFERROR(__xludf.DUMMYFUNCTION("if(or(L62=0),"""",IFERROR(TEXTJOIN("", "",
  TRUE,
  FILTER(
    TRIM(SPLIT(G62, "","")),
    MAP(
      TRIM(SPLIT(G62, "","")),
      LAMBDA(clave,
        COUNTIF('Asignaturas2026-2'!B:B, clave )&gt;0
      )
    )
  )
)))"),"#REF!")</f>
        <v>#REF!</v>
      </c>
      <c r="J62" s="11" t="s">
        <v>147</v>
      </c>
      <c r="K62" s="6" t="str">
        <f t="shared" si="3"/>
        <v>#REF!</v>
      </c>
      <c r="L62" s="6" t="str">
        <f t="shared" si="4"/>
        <v>#REF!</v>
      </c>
      <c r="M62" s="12">
        <v>0.9533333333333333</v>
      </c>
      <c r="N62" s="6">
        <v>50.0</v>
      </c>
      <c r="O62" s="6">
        <v>4.0</v>
      </c>
      <c r="P62" s="6">
        <v>2.0</v>
      </c>
      <c r="Q62" s="6">
        <v>0.0</v>
      </c>
      <c r="R62" s="6">
        <v>0.0</v>
      </c>
    </row>
    <row r="63" ht="22.5" customHeight="1">
      <c r="A63" s="7" t="s">
        <v>51</v>
      </c>
      <c r="B63" s="7" t="s">
        <v>52</v>
      </c>
      <c r="C63" s="1">
        <v>5.0</v>
      </c>
      <c r="D63" s="1">
        <f t="shared" si="1"/>
        <v>7.5</v>
      </c>
      <c r="E63" s="1" t="s">
        <v>28</v>
      </c>
      <c r="F63" s="1">
        <v>3.0</v>
      </c>
      <c r="G63" s="9" t="s">
        <v>161</v>
      </c>
      <c r="H63" s="1" t="str">
        <f t="shared" si="2"/>
        <v>#REF!</v>
      </c>
      <c r="I63" s="10" t="str">
        <f>IFERROR(__xludf.DUMMYFUNCTION("if(or(L63=0),"""",IFERROR(TEXTJOIN("", "",
  TRUE,
  FILTER(
    TRIM(SPLIT(G63, "","")),
    MAP(
      TRIM(SPLIT(G63, "","")),
      LAMBDA(clave,
        COUNTIF('Asignaturas2026-2'!B:B, clave )&gt;0
      )
    )
  )
)))"),"#REF!")</f>
        <v>#REF!</v>
      </c>
      <c r="J63" s="11" t="s">
        <v>147</v>
      </c>
      <c r="K63" s="6" t="str">
        <f t="shared" si="3"/>
        <v>#REF!</v>
      </c>
      <c r="L63" s="6" t="str">
        <f t="shared" si="4"/>
        <v>#REF!</v>
      </c>
      <c r="M63" s="12">
        <v>1.0</v>
      </c>
      <c r="N63" s="6">
        <v>50.0</v>
      </c>
      <c r="O63" s="6">
        <v>6.0</v>
      </c>
      <c r="P63" s="6">
        <v>0.0</v>
      </c>
      <c r="Q63" s="6">
        <v>2.0</v>
      </c>
      <c r="R63" s="6">
        <v>0.0</v>
      </c>
    </row>
    <row r="64" ht="22.5" customHeight="1">
      <c r="A64" s="7" t="s">
        <v>54</v>
      </c>
      <c r="B64" s="7" t="s">
        <v>55</v>
      </c>
      <c r="C64" s="1">
        <v>4.0</v>
      </c>
      <c r="D64" s="1">
        <f t="shared" si="1"/>
        <v>6</v>
      </c>
      <c r="E64" s="1" t="s">
        <v>37</v>
      </c>
      <c r="F64" s="1">
        <v>3.0</v>
      </c>
      <c r="G64" s="9" t="s">
        <v>56</v>
      </c>
      <c r="H64" s="1" t="str">
        <f t="shared" si="2"/>
        <v>#REF!</v>
      </c>
      <c r="I64" s="10" t="str">
        <f>IFERROR(__xludf.DUMMYFUNCTION("if(or(L64=0),"""",IFERROR(TEXTJOIN("", "",
  TRUE,
  FILTER(
    TRIM(SPLIT(G64, "","")),
    MAP(
      TRIM(SPLIT(G64, "","")),
      LAMBDA(clave,
        COUNTIF('Asignaturas2026-2'!B:B, clave )&gt;0
      )
    )
  )
)))"),"#REF!")</f>
        <v>#REF!</v>
      </c>
      <c r="J64" s="11" t="s">
        <v>147</v>
      </c>
      <c r="K64" s="6" t="str">
        <f t="shared" si="3"/>
        <v>#REF!</v>
      </c>
      <c r="L64" s="6" t="str">
        <f t="shared" si="4"/>
        <v>#REF!</v>
      </c>
      <c r="M64" s="12">
        <v>0.8</v>
      </c>
      <c r="N64" s="6">
        <v>50.0</v>
      </c>
      <c r="O64" s="6">
        <v>4.0</v>
      </c>
      <c r="P64" s="6">
        <v>0.0</v>
      </c>
      <c r="Q64" s="6">
        <v>2.0</v>
      </c>
      <c r="R64" s="6">
        <v>0.0</v>
      </c>
    </row>
    <row r="65" ht="22.5" customHeight="1">
      <c r="A65" s="7" t="s">
        <v>57</v>
      </c>
      <c r="B65" s="7" t="s">
        <v>58</v>
      </c>
      <c r="C65" s="1">
        <v>2.0</v>
      </c>
      <c r="D65" s="1">
        <f t="shared" si="1"/>
        <v>3</v>
      </c>
      <c r="E65" s="8"/>
      <c r="F65" s="1">
        <v>4.0</v>
      </c>
      <c r="G65" s="9"/>
      <c r="H65" s="1" t="str">
        <f t="shared" si="2"/>
        <v>#REF!</v>
      </c>
      <c r="I65" s="10" t="str">
        <f>IFERROR(__xludf.DUMMYFUNCTION("if(or(L65=0),"""",IFERROR(TEXTJOIN("", "",
  TRUE,
  FILTER(
    TRIM(SPLIT(G65, "","")),
    MAP(
      TRIM(SPLIT(G65, "","")),
      LAMBDA(clave,
        COUNTIF('Asignaturas2026-2'!B:B, clave )&gt;0
      )
    )
  )
)))"),"#REF!")</f>
        <v>#REF!</v>
      </c>
      <c r="J65" s="11" t="s">
        <v>147</v>
      </c>
      <c r="K65" s="6" t="str">
        <f t="shared" si="3"/>
        <v>#REF!</v>
      </c>
      <c r="L65" s="6" t="str">
        <f t="shared" si="4"/>
        <v>#REF!</v>
      </c>
      <c r="M65" s="12">
        <v>1.0</v>
      </c>
      <c r="N65" s="6">
        <v>25.0</v>
      </c>
      <c r="O65" s="6">
        <v>4.0</v>
      </c>
      <c r="P65" s="6">
        <v>0.0</v>
      </c>
      <c r="Q65" s="6">
        <v>2.0</v>
      </c>
      <c r="R65" s="6">
        <v>0.0</v>
      </c>
    </row>
    <row r="66" ht="22.5" customHeight="1">
      <c r="A66" s="7" t="s">
        <v>59</v>
      </c>
      <c r="B66" s="7" t="s">
        <v>60</v>
      </c>
      <c r="C66" s="1">
        <v>3.0</v>
      </c>
      <c r="D66" s="1">
        <f t="shared" si="1"/>
        <v>4.5</v>
      </c>
      <c r="E66" s="1" t="s">
        <v>51</v>
      </c>
      <c r="F66" s="1">
        <v>4.0</v>
      </c>
      <c r="G66" s="9"/>
      <c r="H66" s="1" t="str">
        <f t="shared" si="2"/>
        <v>#REF!</v>
      </c>
      <c r="I66" s="10" t="str">
        <f>IFERROR(__xludf.DUMMYFUNCTION("if(or(L66=0),"""",IFERROR(TEXTJOIN("", "",
  TRUE,
  FILTER(
    TRIM(SPLIT(G66, "","")),
    MAP(
      TRIM(SPLIT(G66, "","")),
      LAMBDA(clave,
        COUNTIF('Asignaturas2026-2'!B:B, clave )&gt;0
      )
    )
  )
)))"),"#REF!")</f>
        <v>#REF!</v>
      </c>
      <c r="J66" s="11" t="s">
        <v>147</v>
      </c>
      <c r="K66" s="6" t="str">
        <f t="shared" si="3"/>
        <v>#REF!</v>
      </c>
      <c r="L66" s="6" t="str">
        <f t="shared" si="4"/>
        <v>#REF!</v>
      </c>
      <c r="M66" s="12">
        <v>1.0</v>
      </c>
      <c r="N66" s="6">
        <v>50.0</v>
      </c>
      <c r="O66" s="6">
        <v>2.0</v>
      </c>
      <c r="P66" s="6">
        <v>2.0</v>
      </c>
      <c r="Q66" s="6">
        <v>2.0</v>
      </c>
      <c r="R66" s="6">
        <v>0.0</v>
      </c>
    </row>
    <row r="67" ht="22.5" customHeight="1">
      <c r="A67" s="7" t="s">
        <v>162</v>
      </c>
      <c r="B67" s="7" t="s">
        <v>87</v>
      </c>
      <c r="C67" s="1">
        <v>3.0</v>
      </c>
      <c r="D67" s="1">
        <f t="shared" si="1"/>
        <v>4.5</v>
      </c>
      <c r="E67" s="1" t="s">
        <v>154</v>
      </c>
      <c r="F67" s="1">
        <v>4.0</v>
      </c>
      <c r="G67" s="9" t="s">
        <v>88</v>
      </c>
      <c r="H67" s="1" t="str">
        <f t="shared" si="2"/>
        <v>#REF!</v>
      </c>
      <c r="I67" s="10" t="str">
        <f>IFERROR(__xludf.DUMMYFUNCTION("if(or(L67=0),"""",IFERROR(TEXTJOIN("", "",
  TRUE,
  FILTER(
    TRIM(SPLIT(G67, "","")),
    MAP(
      TRIM(SPLIT(G67, "","")),
      LAMBDA(clave,
        COUNTIF('Asignaturas2026-2'!B:B, clave )&gt;0
      )
    )
  )
)))"),"#REF!")</f>
        <v>#REF!</v>
      </c>
      <c r="J67" s="11" t="s">
        <v>147</v>
      </c>
      <c r="K67" s="6" t="str">
        <f t="shared" si="3"/>
        <v>#REF!</v>
      </c>
      <c r="L67" s="6" t="str">
        <f t="shared" si="4"/>
        <v>#REF!</v>
      </c>
      <c r="M67" s="12">
        <v>1.0</v>
      </c>
      <c r="N67" s="6">
        <v>50.0</v>
      </c>
      <c r="O67" s="6">
        <v>4.0</v>
      </c>
      <c r="P67" s="6">
        <v>0.0</v>
      </c>
      <c r="Q67" s="6">
        <v>0.0</v>
      </c>
      <c r="R67" s="6">
        <v>0.0</v>
      </c>
    </row>
    <row r="68" ht="22.5" customHeight="1">
      <c r="A68" s="7" t="s">
        <v>163</v>
      </c>
      <c r="B68" s="7" t="s">
        <v>164</v>
      </c>
      <c r="C68" s="1">
        <v>4.0</v>
      </c>
      <c r="D68" s="1">
        <f t="shared" si="1"/>
        <v>6</v>
      </c>
      <c r="E68" s="1" t="s">
        <v>159</v>
      </c>
      <c r="F68" s="1">
        <v>4.0</v>
      </c>
      <c r="G68" s="9"/>
      <c r="H68" s="1" t="str">
        <f t="shared" si="2"/>
        <v>#REF!</v>
      </c>
      <c r="I68" s="10" t="str">
        <f>IFERROR(__xludf.DUMMYFUNCTION("if(or(L68=0),"""",IFERROR(TEXTJOIN("", "",
  TRUE,
  FILTER(
    TRIM(SPLIT(G68, "","")),
    MAP(
      TRIM(SPLIT(G68, "","")),
      LAMBDA(clave,
        COUNTIF('Asignaturas2026-2'!B:B, clave )&gt;0
      )
    )
  )
)))"),"#REF!")</f>
        <v>#REF!</v>
      </c>
      <c r="J68" s="11" t="s">
        <v>147</v>
      </c>
      <c r="K68" s="6" t="str">
        <f t="shared" si="3"/>
        <v>#REF!</v>
      </c>
      <c r="L68" s="6" t="str">
        <f t="shared" si="4"/>
        <v>#REF!</v>
      </c>
      <c r="M68" s="12">
        <v>0.8</v>
      </c>
      <c r="N68" s="6">
        <v>50.0</v>
      </c>
      <c r="O68" s="6">
        <v>4.0</v>
      </c>
      <c r="P68" s="6">
        <v>2.0</v>
      </c>
      <c r="Q68" s="6">
        <v>0.0</v>
      </c>
      <c r="R68" s="6">
        <v>0.0</v>
      </c>
    </row>
    <row r="69" ht="22.5" customHeight="1">
      <c r="A69" s="7" t="s">
        <v>70</v>
      </c>
      <c r="B69" s="7" t="s">
        <v>69</v>
      </c>
      <c r="C69" s="1">
        <v>4.0</v>
      </c>
      <c r="D69" s="1">
        <f t="shared" si="1"/>
        <v>6</v>
      </c>
      <c r="E69" s="23" t="s">
        <v>159</v>
      </c>
      <c r="F69" s="1">
        <v>4.0</v>
      </c>
      <c r="G69" s="9" t="s">
        <v>68</v>
      </c>
      <c r="H69" s="1" t="str">
        <f t="shared" si="2"/>
        <v>#REF!</v>
      </c>
      <c r="I69" s="10" t="str">
        <f>IFERROR(__xludf.DUMMYFUNCTION("if(or(L69=0),"""",IFERROR(TEXTJOIN("", "",
  TRUE,
  FILTER(
    TRIM(SPLIT(G69, "","")),
    MAP(
      TRIM(SPLIT(G69, "","")),
      LAMBDA(clave,
        COUNTIF('Asignaturas2026-2'!B:B, clave )&gt;0
      )
    )
  )
)))"),"#REF!")</f>
        <v>#REF!</v>
      </c>
      <c r="J69" s="11" t="s">
        <v>147</v>
      </c>
      <c r="K69" s="6" t="str">
        <f t="shared" si="3"/>
        <v>#REF!</v>
      </c>
      <c r="L69" s="6" t="str">
        <f t="shared" si="4"/>
        <v>#REF!</v>
      </c>
      <c r="M69" s="12">
        <v>1.0</v>
      </c>
      <c r="N69" s="6">
        <v>50.0</v>
      </c>
      <c r="O69" s="6">
        <v>4.0</v>
      </c>
      <c r="P69" s="6">
        <v>2.0</v>
      </c>
      <c r="Q69" s="6">
        <v>0.0</v>
      </c>
      <c r="R69" s="6">
        <v>0.0</v>
      </c>
    </row>
    <row r="70" ht="22.5" customHeight="1">
      <c r="A70" s="7" t="s">
        <v>71</v>
      </c>
      <c r="B70" s="7" t="s">
        <v>72</v>
      </c>
      <c r="C70" s="1">
        <v>2.0</v>
      </c>
      <c r="D70" s="1">
        <f t="shared" si="1"/>
        <v>3</v>
      </c>
      <c r="E70" s="1" t="s">
        <v>57</v>
      </c>
      <c r="F70" s="1">
        <v>5.0</v>
      </c>
      <c r="G70" s="9"/>
      <c r="H70" s="1" t="str">
        <f t="shared" si="2"/>
        <v>#REF!</v>
      </c>
      <c r="I70" s="10" t="str">
        <f>IFERROR(__xludf.DUMMYFUNCTION("if(or(L70=0),"""",IFERROR(TEXTJOIN("", "",
  TRUE,
  FILTER(
    TRIM(SPLIT(G70, "","")),
    MAP(
      TRIM(SPLIT(G70, "","")),
      LAMBDA(clave,
        COUNTIF('Asignaturas2026-2'!B:B, clave )&gt;0
      )
    )
  )
)))"),"#REF!")</f>
        <v>#REF!</v>
      </c>
      <c r="J70" s="11" t="s">
        <v>147</v>
      </c>
      <c r="K70" s="6" t="str">
        <f t="shared" si="3"/>
        <v>#REF!</v>
      </c>
      <c r="L70" s="6" t="str">
        <f t="shared" si="4"/>
        <v>#REF!</v>
      </c>
      <c r="M70" s="12">
        <v>1.0</v>
      </c>
      <c r="N70" s="6">
        <v>25.0</v>
      </c>
      <c r="O70" s="6">
        <v>4.0</v>
      </c>
      <c r="P70" s="6">
        <v>0.0</v>
      </c>
      <c r="Q70" s="6">
        <v>2.0</v>
      </c>
      <c r="R70" s="6">
        <v>0.0</v>
      </c>
    </row>
    <row r="71" ht="22.5" customHeight="1">
      <c r="A71" s="7" t="s">
        <v>73</v>
      </c>
      <c r="B71" s="7" t="s">
        <v>74</v>
      </c>
      <c r="C71" s="1">
        <v>3.0</v>
      </c>
      <c r="D71" s="1">
        <f t="shared" si="1"/>
        <v>4.5</v>
      </c>
      <c r="E71" s="1" t="s">
        <v>51</v>
      </c>
      <c r="F71" s="1">
        <v>5.0</v>
      </c>
      <c r="G71" s="9"/>
      <c r="H71" s="1" t="str">
        <f t="shared" si="2"/>
        <v>#REF!</v>
      </c>
      <c r="I71" s="10" t="str">
        <f>IFERROR(__xludf.DUMMYFUNCTION("if(or(L71=0),"""",IFERROR(TEXTJOIN("", "",
  TRUE,
  FILTER(
    TRIM(SPLIT(G71, "","")),
    MAP(
      TRIM(SPLIT(G71, "","")),
      LAMBDA(clave,
        COUNTIF('Asignaturas2026-2'!B:B, clave )&gt;0
      )
    )
  )
)))"),"#REF!")</f>
        <v>#REF!</v>
      </c>
      <c r="J71" s="11" t="s">
        <v>147</v>
      </c>
      <c r="K71" s="6" t="str">
        <f t="shared" si="3"/>
        <v>#REF!</v>
      </c>
      <c r="L71" s="6" t="str">
        <f t="shared" si="4"/>
        <v>#REF!</v>
      </c>
      <c r="M71" s="12">
        <v>1.0</v>
      </c>
      <c r="N71" s="6">
        <v>50.0</v>
      </c>
      <c r="O71" s="6">
        <v>2.0</v>
      </c>
      <c r="P71" s="6">
        <v>2.0</v>
      </c>
      <c r="Q71" s="6">
        <v>2.0</v>
      </c>
      <c r="R71" s="6">
        <v>0.0</v>
      </c>
    </row>
    <row r="72" ht="22.5" customHeight="1">
      <c r="A72" s="7" t="s">
        <v>165</v>
      </c>
      <c r="B72" s="7" t="s">
        <v>166</v>
      </c>
      <c r="C72" s="1">
        <v>3.0</v>
      </c>
      <c r="D72" s="1">
        <f t="shared" si="1"/>
        <v>4.5</v>
      </c>
      <c r="E72" s="1" t="s">
        <v>163</v>
      </c>
      <c r="F72" s="1">
        <v>5.0</v>
      </c>
      <c r="G72" s="9"/>
      <c r="H72" s="1" t="str">
        <f t="shared" si="2"/>
        <v>#REF!</v>
      </c>
      <c r="I72" s="10" t="str">
        <f>IFERROR(__xludf.DUMMYFUNCTION("if(or(L72=0),"""",IFERROR(TEXTJOIN("", "",
  TRUE,
  FILTER(
    TRIM(SPLIT(G72, "","")),
    MAP(
      TRIM(SPLIT(G72, "","")),
      LAMBDA(clave,
        COUNTIF('Asignaturas2026-2'!B:B, clave )&gt;0
      )
    )
  )
)))"),"#REF!")</f>
        <v>#REF!</v>
      </c>
      <c r="J72" s="11" t="s">
        <v>147</v>
      </c>
      <c r="K72" s="6" t="str">
        <f t="shared" si="3"/>
        <v>#REF!</v>
      </c>
      <c r="L72" s="6" t="str">
        <f t="shared" si="4"/>
        <v>#REF!</v>
      </c>
      <c r="M72" s="12">
        <v>0.9866666666666667</v>
      </c>
      <c r="N72" s="6">
        <v>30.0</v>
      </c>
      <c r="O72" s="6">
        <v>2.0</v>
      </c>
      <c r="P72" s="6">
        <v>0.0</v>
      </c>
      <c r="Q72" s="6">
        <v>2.0</v>
      </c>
      <c r="R72" s="6">
        <v>0.0</v>
      </c>
    </row>
    <row r="73" ht="22.5" customHeight="1">
      <c r="A73" s="7" t="s">
        <v>167</v>
      </c>
      <c r="B73" s="7" t="s">
        <v>82</v>
      </c>
      <c r="C73" s="1">
        <v>4.0</v>
      </c>
      <c r="D73" s="1">
        <f t="shared" si="1"/>
        <v>6</v>
      </c>
      <c r="E73" s="1" t="s">
        <v>154</v>
      </c>
      <c r="F73" s="1">
        <v>5.0</v>
      </c>
      <c r="G73" s="9" t="s">
        <v>168</v>
      </c>
      <c r="H73" s="1" t="str">
        <f t="shared" si="2"/>
        <v>#REF!</v>
      </c>
      <c r="I73" s="10" t="str">
        <f>IFERROR(__xludf.DUMMYFUNCTION("if(or(L73=0),"""",IFERROR(TEXTJOIN("", "",
  TRUE,
  FILTER(
    TRIM(SPLIT(G73, "","")),
    MAP(
      TRIM(SPLIT(G73, "","")),
      LAMBDA(clave,
        COUNTIF('Asignaturas2026-2'!B:B, clave )&gt;0
      )
    )
  )
)))"),"#REF!")</f>
        <v>#REF!</v>
      </c>
      <c r="J73" s="11" t="s">
        <v>147</v>
      </c>
      <c r="K73" s="6" t="str">
        <f t="shared" si="3"/>
        <v>#REF!</v>
      </c>
      <c r="L73" s="6" t="str">
        <f t="shared" si="4"/>
        <v>#REF!</v>
      </c>
      <c r="M73" s="12">
        <v>0.9466666666666667</v>
      </c>
      <c r="N73" s="6">
        <v>50.0</v>
      </c>
      <c r="O73" s="6">
        <v>4.0</v>
      </c>
      <c r="P73" s="6">
        <v>2.0</v>
      </c>
      <c r="Q73" s="6">
        <v>0.0</v>
      </c>
      <c r="R73" s="6">
        <v>0.0</v>
      </c>
    </row>
    <row r="74" ht="22.5" customHeight="1">
      <c r="A74" s="7" t="s">
        <v>169</v>
      </c>
      <c r="B74" s="7" t="s">
        <v>92</v>
      </c>
      <c r="C74" s="1">
        <v>4.0</v>
      </c>
      <c r="D74" s="1">
        <f t="shared" si="1"/>
        <v>6</v>
      </c>
      <c r="E74" s="1" t="s">
        <v>70</v>
      </c>
      <c r="F74" s="1">
        <v>5.0</v>
      </c>
      <c r="G74" s="9" t="s">
        <v>170</v>
      </c>
      <c r="H74" s="1" t="str">
        <f t="shared" si="2"/>
        <v>#REF!</v>
      </c>
      <c r="I74" s="10" t="str">
        <f>IFERROR(__xludf.DUMMYFUNCTION("if(or(L74=0),"""",IFERROR(TEXTJOIN("", "",
  TRUE,
  FILTER(
    TRIM(SPLIT(G74, "","")),
    MAP(
      TRIM(SPLIT(G74, "","")),
      LAMBDA(clave,
        COUNTIF('Asignaturas2026-2'!B:B, clave )&gt;0
      )
    )
  )
)))"),"#REF!")</f>
        <v>#REF!</v>
      </c>
      <c r="J74" s="11" t="s">
        <v>147</v>
      </c>
      <c r="K74" s="6" t="str">
        <f t="shared" si="3"/>
        <v>#REF!</v>
      </c>
      <c r="L74" s="6" t="str">
        <f t="shared" si="4"/>
        <v>#REF!</v>
      </c>
      <c r="M74" s="12">
        <v>0.8966666666666666</v>
      </c>
      <c r="N74" s="6">
        <v>50.0</v>
      </c>
      <c r="O74" s="6">
        <v>4.0</v>
      </c>
      <c r="P74" s="6">
        <v>2.0</v>
      </c>
      <c r="Q74" s="6">
        <v>0.0</v>
      </c>
      <c r="R74" s="6">
        <v>0.0</v>
      </c>
    </row>
    <row r="75" ht="22.5" customHeight="1">
      <c r="A75" s="7" t="s">
        <v>171</v>
      </c>
      <c r="B75" s="7" t="s">
        <v>97</v>
      </c>
      <c r="C75" s="1">
        <v>4.0</v>
      </c>
      <c r="D75" s="1">
        <f t="shared" si="1"/>
        <v>6</v>
      </c>
      <c r="E75" s="1" t="s">
        <v>154</v>
      </c>
      <c r="F75" s="1">
        <v>5.0</v>
      </c>
      <c r="G75" s="9" t="s">
        <v>172</v>
      </c>
      <c r="H75" s="1" t="str">
        <f t="shared" si="2"/>
        <v>#REF!</v>
      </c>
      <c r="I75" s="10" t="str">
        <f>IFERROR(__xludf.DUMMYFUNCTION("if(or(L75=0),"""",IFERROR(TEXTJOIN("", "",
  TRUE,
  FILTER(
    TRIM(SPLIT(G75, "","")),
    MAP(
      TRIM(SPLIT(G75, "","")),
      LAMBDA(clave,
        COUNTIF('Asignaturas2026-2'!B:B, clave )&gt;0
      )
    )
  )
)))"),"#REF!")</f>
        <v>#REF!</v>
      </c>
      <c r="J75" s="11" t="s">
        <v>147</v>
      </c>
      <c r="K75" s="6" t="str">
        <f t="shared" si="3"/>
        <v>#REF!</v>
      </c>
      <c r="L75" s="6" t="str">
        <f t="shared" si="4"/>
        <v>#REF!</v>
      </c>
      <c r="M75" s="12">
        <v>1.0</v>
      </c>
      <c r="N75" s="6">
        <v>50.0</v>
      </c>
      <c r="O75" s="6">
        <v>4.0</v>
      </c>
      <c r="P75" s="6">
        <v>0.0</v>
      </c>
      <c r="Q75" s="6">
        <v>2.0</v>
      </c>
      <c r="R75" s="6">
        <v>0.0</v>
      </c>
    </row>
    <row r="76" ht="22.5" customHeight="1">
      <c r="A76" s="7" t="s">
        <v>84</v>
      </c>
      <c r="B76" s="7" t="s">
        <v>85</v>
      </c>
      <c r="C76" s="1">
        <v>2.0</v>
      </c>
      <c r="D76" s="1">
        <f t="shared" si="1"/>
        <v>3</v>
      </c>
      <c r="E76" s="1" t="s">
        <v>71</v>
      </c>
      <c r="F76" s="1">
        <v>6.0</v>
      </c>
      <c r="G76" s="9"/>
      <c r="H76" s="1" t="str">
        <f t="shared" si="2"/>
        <v>#REF!</v>
      </c>
      <c r="I76" s="10" t="str">
        <f>IFERROR(__xludf.DUMMYFUNCTION("if(or(L76=0),"""",IFERROR(TEXTJOIN("", "",
  TRUE,
  FILTER(
    TRIM(SPLIT(G76, "","")),
    MAP(
      TRIM(SPLIT(G76, "","")),
      LAMBDA(clave,
        COUNTIF('Asignaturas2026-2'!B:B, clave )&gt;0
      )
    )
  )
)))"),"#REF!")</f>
        <v>#REF!</v>
      </c>
      <c r="J76" s="11" t="s">
        <v>147</v>
      </c>
      <c r="K76" s="6" t="str">
        <f t="shared" si="3"/>
        <v>#REF!</v>
      </c>
      <c r="L76" s="6" t="str">
        <f t="shared" si="4"/>
        <v>#REF!</v>
      </c>
      <c r="M76" s="12">
        <v>1.0</v>
      </c>
      <c r="N76" s="6">
        <v>25.0</v>
      </c>
      <c r="O76" s="6">
        <v>4.0</v>
      </c>
      <c r="P76" s="6">
        <v>0.0</v>
      </c>
      <c r="Q76" s="6">
        <v>2.0</v>
      </c>
      <c r="R76" s="6">
        <v>0.0</v>
      </c>
    </row>
    <row r="77" ht="22.5" customHeight="1">
      <c r="A77" s="7" t="s">
        <v>173</v>
      </c>
      <c r="B77" s="7" t="s">
        <v>102</v>
      </c>
      <c r="C77" s="1">
        <v>3.0</v>
      </c>
      <c r="D77" s="1">
        <f t="shared" si="1"/>
        <v>4.5</v>
      </c>
      <c r="E77" s="23" t="s">
        <v>159</v>
      </c>
      <c r="F77" s="1">
        <v>6.0</v>
      </c>
      <c r="G77" s="9" t="s">
        <v>174</v>
      </c>
      <c r="H77" s="1" t="str">
        <f t="shared" si="2"/>
        <v>#REF!</v>
      </c>
      <c r="I77" s="10" t="str">
        <f>IFERROR(__xludf.DUMMYFUNCTION("if(or(L77=0),"""",IFERROR(TEXTJOIN("", "",
  TRUE,
  FILTER(
    TRIM(SPLIT(G77, "","")),
    MAP(
      TRIM(SPLIT(G77, "","")),
      LAMBDA(clave,
        COUNTIF('Asignaturas2026-2'!B:B, clave )&gt;0
      )
    )
  )
)))"),"#REF!")</f>
        <v>#REF!</v>
      </c>
      <c r="J77" s="11" t="s">
        <v>147</v>
      </c>
      <c r="K77" s="6" t="str">
        <f t="shared" si="3"/>
        <v>#REF!</v>
      </c>
      <c r="L77" s="6" t="str">
        <f t="shared" si="4"/>
        <v>#REF!</v>
      </c>
      <c r="M77" s="12">
        <v>1.0</v>
      </c>
      <c r="N77" s="6">
        <v>50.0</v>
      </c>
      <c r="O77" s="6">
        <v>4.0</v>
      </c>
      <c r="P77" s="6">
        <v>0.0</v>
      </c>
      <c r="Q77" s="6">
        <v>0.0</v>
      </c>
      <c r="R77" s="6">
        <v>0.0</v>
      </c>
    </row>
    <row r="78" ht="22.5" customHeight="1">
      <c r="A78" s="7" t="s">
        <v>63</v>
      </c>
      <c r="B78" s="7" t="s">
        <v>62</v>
      </c>
      <c r="C78" s="1">
        <v>3.0</v>
      </c>
      <c r="D78" s="1">
        <f t="shared" si="1"/>
        <v>4.5</v>
      </c>
      <c r="E78" s="23" t="s">
        <v>154</v>
      </c>
      <c r="F78" s="1">
        <v>6.0</v>
      </c>
      <c r="G78" s="9" t="s">
        <v>61</v>
      </c>
      <c r="H78" s="1" t="str">
        <f t="shared" si="2"/>
        <v>#REF!</v>
      </c>
      <c r="I78" s="10" t="str">
        <f>IFERROR(__xludf.DUMMYFUNCTION("if(or(L78=0),"""",IFERROR(TEXTJOIN("", "",
  TRUE,
  FILTER(
    TRIM(SPLIT(G78, "","")),
    MAP(
      TRIM(SPLIT(G78, "","")),
      LAMBDA(clave,
        COUNTIF('Asignaturas2026-2'!B:B, clave )&gt;0
      )
    )
  )
)))"),"#REF!")</f>
        <v>#REF!</v>
      </c>
      <c r="J78" s="11" t="s">
        <v>147</v>
      </c>
      <c r="K78" s="6" t="str">
        <f t="shared" si="3"/>
        <v>#REF!</v>
      </c>
      <c r="L78" s="6" t="str">
        <f t="shared" si="4"/>
        <v>#REF!</v>
      </c>
      <c r="M78" s="12">
        <v>1.0</v>
      </c>
      <c r="N78" s="6">
        <v>45.0</v>
      </c>
      <c r="O78" s="6">
        <v>4.0</v>
      </c>
      <c r="P78" s="6">
        <v>2.0</v>
      </c>
      <c r="Q78" s="6">
        <v>0.0</v>
      </c>
      <c r="R78" s="6">
        <v>0.0</v>
      </c>
    </row>
    <row r="79" ht="22.5" customHeight="1">
      <c r="A79" s="7" t="s">
        <v>80</v>
      </c>
      <c r="B79" s="7" t="s">
        <v>79</v>
      </c>
      <c r="C79" s="1">
        <v>4.0</v>
      </c>
      <c r="D79" s="1">
        <f t="shared" si="1"/>
        <v>6</v>
      </c>
      <c r="E79" s="1" t="s">
        <v>54</v>
      </c>
      <c r="F79" s="1">
        <v>6.0</v>
      </c>
      <c r="G79" s="9" t="s">
        <v>78</v>
      </c>
      <c r="H79" s="1" t="str">
        <f t="shared" si="2"/>
        <v>#REF!</v>
      </c>
      <c r="I79" s="10" t="str">
        <f>IFERROR(__xludf.DUMMYFUNCTION("if(or(L79=0),"""",IFERROR(TEXTJOIN("", "",
  TRUE,
  FILTER(
    TRIM(SPLIT(G79, "","")),
    MAP(
      TRIM(SPLIT(G79, "","")),
      LAMBDA(clave,
        COUNTIF('Asignaturas2026-2'!B:B, clave )&gt;0
      )
    )
  )
)))"),"#REF!")</f>
        <v>#REF!</v>
      </c>
      <c r="J79" s="11" t="s">
        <v>147</v>
      </c>
      <c r="K79" s="6" t="str">
        <f t="shared" si="3"/>
        <v>#REF!</v>
      </c>
      <c r="L79" s="6" t="str">
        <f t="shared" si="4"/>
        <v>#REF!</v>
      </c>
      <c r="M79" s="12">
        <v>1.0</v>
      </c>
      <c r="N79" s="6">
        <v>50.0</v>
      </c>
      <c r="O79" s="6">
        <v>4.0</v>
      </c>
      <c r="P79" s="6">
        <v>2.0</v>
      </c>
      <c r="Q79" s="6">
        <v>0.0</v>
      </c>
      <c r="R79" s="6">
        <v>0.0</v>
      </c>
    </row>
    <row r="80" ht="22.5" customHeight="1">
      <c r="A80" s="7" t="s">
        <v>175</v>
      </c>
      <c r="B80" s="7" t="s">
        <v>176</v>
      </c>
      <c r="C80" s="1">
        <v>4.0</v>
      </c>
      <c r="D80" s="1">
        <f t="shared" si="1"/>
        <v>6</v>
      </c>
      <c r="E80" s="1" t="s">
        <v>167</v>
      </c>
      <c r="F80" s="1">
        <v>6.0</v>
      </c>
      <c r="G80" s="9"/>
      <c r="H80" s="1" t="str">
        <f t="shared" si="2"/>
        <v>#REF!</v>
      </c>
      <c r="I80" s="10" t="str">
        <f>IFERROR(__xludf.DUMMYFUNCTION("if(or(L80=0),"""",IFERROR(TEXTJOIN("", "",
  TRUE,
  FILTER(
    TRIM(SPLIT(G80, "","")),
    MAP(
      TRIM(SPLIT(G80, "","")),
      LAMBDA(clave,
        COUNTIF('Asignaturas2026-2'!B:B, clave )&gt;0
      )
    )
  )
)))"),"#REF!")</f>
        <v>#REF!</v>
      </c>
      <c r="J80" s="11" t="s">
        <v>147</v>
      </c>
      <c r="K80" s="6" t="str">
        <f t="shared" si="3"/>
        <v>#REF!</v>
      </c>
      <c r="L80" s="6" t="str">
        <f t="shared" si="4"/>
        <v>#REF!</v>
      </c>
      <c r="M80" s="12">
        <v>1.0</v>
      </c>
      <c r="N80" s="6">
        <v>50.0</v>
      </c>
      <c r="O80" s="6">
        <v>4.0</v>
      </c>
      <c r="P80" s="6">
        <v>2.0</v>
      </c>
      <c r="Q80" s="6">
        <v>0.0</v>
      </c>
      <c r="R80" s="6">
        <v>0.0</v>
      </c>
    </row>
    <row r="81" ht="22.5" customHeight="1">
      <c r="A81" s="7" t="s">
        <v>177</v>
      </c>
      <c r="B81" s="7" t="s">
        <v>119</v>
      </c>
      <c r="C81" s="1">
        <v>4.0</v>
      </c>
      <c r="D81" s="1">
        <f t="shared" si="1"/>
        <v>6</v>
      </c>
      <c r="E81" s="1" t="s">
        <v>165</v>
      </c>
      <c r="F81" s="1">
        <v>6.0</v>
      </c>
      <c r="G81" s="9" t="s">
        <v>178</v>
      </c>
      <c r="H81" s="1" t="str">
        <f t="shared" si="2"/>
        <v>#REF!</v>
      </c>
      <c r="I81" s="10" t="str">
        <f>IFERROR(__xludf.DUMMYFUNCTION("if(or(L81=0),"""",IFERROR(TEXTJOIN("", "",
  TRUE,
  FILTER(
    TRIM(SPLIT(G81, "","")),
    MAP(
      TRIM(SPLIT(G81, "","")),
      LAMBDA(clave,
        COUNTIF('Asignaturas2026-2'!B:B, clave )&gt;0
      )
    )
  )
)))"),"#REF!")</f>
        <v>#REF!</v>
      </c>
      <c r="J81" s="11" t="s">
        <v>147</v>
      </c>
      <c r="K81" s="6" t="str">
        <f t="shared" si="3"/>
        <v>#REF!</v>
      </c>
      <c r="L81" s="6" t="str">
        <f t="shared" si="4"/>
        <v>#REF!</v>
      </c>
      <c r="M81" s="12">
        <v>1.0</v>
      </c>
      <c r="N81" s="6">
        <v>50.0</v>
      </c>
      <c r="O81" s="6">
        <v>4.0</v>
      </c>
      <c r="P81" s="6">
        <v>2.0</v>
      </c>
      <c r="Q81" s="6">
        <v>0.0</v>
      </c>
      <c r="R81" s="6">
        <v>0.0</v>
      </c>
    </row>
    <row r="82" ht="22.5" customHeight="1">
      <c r="A82" s="7" t="s">
        <v>99</v>
      </c>
      <c r="B82" s="7" t="s">
        <v>100</v>
      </c>
      <c r="C82" s="1">
        <v>2.0</v>
      </c>
      <c r="D82" s="1">
        <f t="shared" si="1"/>
        <v>3</v>
      </c>
      <c r="E82" s="1" t="s">
        <v>84</v>
      </c>
      <c r="F82" s="1">
        <v>7.0</v>
      </c>
      <c r="G82" s="9"/>
      <c r="H82" s="1" t="str">
        <f t="shared" si="2"/>
        <v>#REF!</v>
      </c>
      <c r="I82" s="10" t="str">
        <f>IFERROR(__xludf.DUMMYFUNCTION("if(or(L82=0),"""",IFERROR(TEXTJOIN("", "",
  TRUE,
  FILTER(
    TRIM(SPLIT(G82, "","")),
    MAP(
      TRIM(SPLIT(G82, "","")),
      LAMBDA(clave,
        COUNTIF('Asignaturas2026-2'!B:B, clave )&gt;0
      )
    )
  )
)))"),"#REF!")</f>
        <v>#REF!</v>
      </c>
      <c r="J82" s="11" t="s">
        <v>147</v>
      </c>
      <c r="K82" s="6" t="str">
        <f t="shared" si="3"/>
        <v>#REF!</v>
      </c>
      <c r="L82" s="6" t="str">
        <f t="shared" si="4"/>
        <v>#REF!</v>
      </c>
      <c r="M82" s="12">
        <v>1.0</v>
      </c>
      <c r="N82" s="6">
        <v>25.0</v>
      </c>
      <c r="O82" s="6">
        <v>4.0</v>
      </c>
      <c r="P82" s="6">
        <v>0.0</v>
      </c>
      <c r="Q82" s="6">
        <v>2.0</v>
      </c>
      <c r="R82" s="6">
        <v>0.0</v>
      </c>
    </row>
    <row r="83" ht="22.5" customHeight="1">
      <c r="A83" s="7" t="s">
        <v>179</v>
      </c>
      <c r="B83" s="7" t="s">
        <v>180</v>
      </c>
      <c r="C83" s="1">
        <v>3.0</v>
      </c>
      <c r="D83" s="1">
        <f t="shared" si="1"/>
        <v>4.5</v>
      </c>
      <c r="E83" s="1" t="s">
        <v>177</v>
      </c>
      <c r="F83" s="1">
        <v>7.0</v>
      </c>
      <c r="G83" s="9"/>
      <c r="H83" s="1" t="str">
        <f t="shared" si="2"/>
        <v>#REF!</v>
      </c>
      <c r="I83" s="10" t="str">
        <f>IFERROR(__xludf.DUMMYFUNCTION("if(or(L83=0),"""",IFERROR(TEXTJOIN("", "",
  TRUE,
  FILTER(
    TRIM(SPLIT(G83, "","")),
    MAP(
      TRIM(SPLIT(G83, "","")),
      LAMBDA(clave,
        COUNTIF('Asignaturas2026-2'!B:B, clave )&gt;0
      )
    )
  )
)))"),"#REF!")</f>
        <v>#REF!</v>
      </c>
      <c r="J83" s="11" t="s">
        <v>147</v>
      </c>
      <c r="K83" s="6" t="str">
        <f t="shared" si="3"/>
        <v>#REF!</v>
      </c>
      <c r="L83" s="6" t="str">
        <f t="shared" si="4"/>
        <v>#REF!</v>
      </c>
      <c r="M83" s="12">
        <v>1.0</v>
      </c>
      <c r="N83" s="6">
        <v>50.0</v>
      </c>
      <c r="O83" s="6">
        <v>4.0</v>
      </c>
      <c r="P83" s="6">
        <v>0.0</v>
      </c>
      <c r="Q83" s="6">
        <v>0.0</v>
      </c>
      <c r="R83" s="6">
        <v>0.0</v>
      </c>
    </row>
    <row r="84" ht="22.5" customHeight="1">
      <c r="A84" s="7" t="s">
        <v>181</v>
      </c>
      <c r="B84" s="7" t="s">
        <v>182</v>
      </c>
      <c r="C84" s="1">
        <v>4.0</v>
      </c>
      <c r="D84" s="1">
        <f t="shared" si="1"/>
        <v>6</v>
      </c>
      <c r="E84" s="23" t="s">
        <v>163</v>
      </c>
      <c r="F84" s="1">
        <v>7.0</v>
      </c>
      <c r="G84" s="9" t="s">
        <v>183</v>
      </c>
      <c r="H84" s="1" t="str">
        <f t="shared" si="2"/>
        <v>#REF!</v>
      </c>
      <c r="I84" s="10" t="str">
        <f>IFERROR(__xludf.DUMMYFUNCTION("if(or(L84=0),"""",IFERROR(TEXTJOIN("", "",
  TRUE,
  FILTER(
    TRIM(SPLIT(G84, "","")),
    MAP(
      TRIM(SPLIT(G84, "","")),
      LAMBDA(clave,
        COUNTIF('Asignaturas2026-2'!B:B, clave )&gt;0
      )
    )
  )
)))"),"#REF!")</f>
        <v>#REF!</v>
      </c>
      <c r="J84" s="11" t="s">
        <v>147</v>
      </c>
      <c r="K84" s="6" t="str">
        <f t="shared" si="3"/>
        <v>#REF!</v>
      </c>
      <c r="L84" s="6" t="str">
        <f t="shared" si="4"/>
        <v>#REF!</v>
      </c>
      <c r="M84" s="12">
        <v>0.98</v>
      </c>
      <c r="N84" s="6">
        <v>30.0</v>
      </c>
      <c r="O84" s="6">
        <v>4.0</v>
      </c>
      <c r="P84" s="6">
        <v>2.0</v>
      </c>
      <c r="Q84" s="6">
        <v>0.0</v>
      </c>
      <c r="R84" s="6">
        <v>0.0</v>
      </c>
    </row>
    <row r="85" ht="22.5" customHeight="1">
      <c r="A85" s="7" t="s">
        <v>184</v>
      </c>
      <c r="B85" s="7" t="s">
        <v>185</v>
      </c>
      <c r="C85" s="1">
        <v>4.0</v>
      </c>
      <c r="D85" s="1">
        <f t="shared" si="1"/>
        <v>6</v>
      </c>
      <c r="E85" s="1" t="s">
        <v>175</v>
      </c>
      <c r="F85" s="1">
        <v>7.0</v>
      </c>
      <c r="G85" s="9" t="s">
        <v>186</v>
      </c>
      <c r="H85" s="1" t="str">
        <f t="shared" si="2"/>
        <v>#REF!</v>
      </c>
      <c r="I85" s="10" t="str">
        <f>IFERROR(__xludf.DUMMYFUNCTION("if(or(L85=0),"""",IFERROR(TEXTJOIN("", "",
  TRUE,
  FILTER(
    TRIM(SPLIT(G85, "","")),
    MAP(
      TRIM(SPLIT(G85, "","")),
      LAMBDA(clave,
        COUNTIF('Asignaturas2026-2'!B:B, clave )&gt;0
      )
    )
  )
)))"),"#REF!")</f>
        <v>#REF!</v>
      </c>
      <c r="J85" s="11" t="s">
        <v>147</v>
      </c>
      <c r="K85" s="6" t="str">
        <f t="shared" si="3"/>
        <v>#REF!</v>
      </c>
      <c r="L85" s="6" t="str">
        <f t="shared" si="4"/>
        <v>#REF!</v>
      </c>
      <c r="M85" s="12">
        <v>0.96</v>
      </c>
      <c r="N85" s="6">
        <v>50.0</v>
      </c>
      <c r="O85" s="6">
        <v>2.0</v>
      </c>
      <c r="P85" s="6">
        <v>0.0</v>
      </c>
      <c r="Q85" s="25">
        <v>2.0</v>
      </c>
      <c r="R85" s="6">
        <v>0.0</v>
      </c>
    </row>
    <row r="86" ht="22.5" customHeight="1">
      <c r="A86" s="7" t="s">
        <v>187</v>
      </c>
      <c r="B86" s="7" t="s">
        <v>188</v>
      </c>
      <c r="C86" s="1">
        <v>4.0</v>
      </c>
      <c r="D86" s="1">
        <f t="shared" si="1"/>
        <v>6</v>
      </c>
      <c r="E86" s="1" t="s">
        <v>175</v>
      </c>
      <c r="F86" s="1">
        <v>7.0</v>
      </c>
      <c r="G86" s="9"/>
      <c r="H86" s="1" t="str">
        <f t="shared" si="2"/>
        <v>#REF!</v>
      </c>
      <c r="I86" s="10" t="str">
        <f>IFERROR(__xludf.DUMMYFUNCTION("if(or(L86=0),"""",IFERROR(TEXTJOIN("", "",
  TRUE,
  FILTER(
    TRIM(SPLIT(G86, "","")),
    MAP(
      TRIM(SPLIT(G86, "","")),
      LAMBDA(clave,
        COUNTIF('Asignaturas2026-2'!B:B, clave )&gt;0
      )
    )
  )
)))"),"#REF!")</f>
        <v>#REF!</v>
      </c>
      <c r="J86" s="11" t="s">
        <v>147</v>
      </c>
      <c r="K86" s="6" t="str">
        <f t="shared" si="3"/>
        <v>#REF!</v>
      </c>
      <c r="L86" s="6" t="str">
        <f t="shared" si="4"/>
        <v>#REF!</v>
      </c>
      <c r="M86" s="12">
        <v>1.0</v>
      </c>
      <c r="N86" s="6">
        <v>50.0</v>
      </c>
      <c r="O86" s="6">
        <v>4.0</v>
      </c>
      <c r="P86" s="6">
        <v>1.0</v>
      </c>
      <c r="Q86" s="6">
        <v>1.0</v>
      </c>
      <c r="R86" s="6">
        <v>0.0</v>
      </c>
    </row>
    <row r="87" ht="22.5" customHeight="1">
      <c r="A87" s="7" t="s">
        <v>189</v>
      </c>
      <c r="B87" s="7" t="s">
        <v>133</v>
      </c>
      <c r="C87" s="1">
        <v>4.0</v>
      </c>
      <c r="D87" s="1">
        <f t="shared" si="1"/>
        <v>6</v>
      </c>
      <c r="E87" s="1" t="s">
        <v>177</v>
      </c>
      <c r="F87" s="1">
        <v>7.0</v>
      </c>
      <c r="G87" s="9" t="s">
        <v>190</v>
      </c>
      <c r="H87" s="1" t="str">
        <f t="shared" si="2"/>
        <v>#REF!</v>
      </c>
      <c r="I87" s="10" t="str">
        <f>IFERROR(__xludf.DUMMYFUNCTION("if(or(L87=0),"""",IFERROR(TEXTJOIN("", "",
  TRUE,
  FILTER(
    TRIM(SPLIT(G87, "","")),
    MAP(
      TRIM(SPLIT(G87, "","")),
      LAMBDA(clave,
        COUNTIF('Asignaturas2026-2'!B:B, clave )&gt;0
      )
    )
  )
)))"),"#REF!")</f>
        <v>#REF!</v>
      </c>
      <c r="J87" s="11" t="s">
        <v>147</v>
      </c>
      <c r="K87" s="6" t="str">
        <f t="shared" si="3"/>
        <v>#REF!</v>
      </c>
      <c r="L87" s="6" t="str">
        <f t="shared" si="4"/>
        <v>#REF!</v>
      </c>
      <c r="M87" s="12">
        <v>1.0</v>
      </c>
      <c r="N87" s="6">
        <v>50.0</v>
      </c>
      <c r="O87" s="6">
        <v>4.0</v>
      </c>
      <c r="P87" s="6">
        <v>2.0</v>
      </c>
      <c r="Q87" s="6">
        <v>0.0</v>
      </c>
      <c r="R87" s="6">
        <v>0.0</v>
      </c>
    </row>
    <row r="88" ht="22.5" customHeight="1">
      <c r="A88" s="7" t="s">
        <v>191</v>
      </c>
      <c r="B88" s="7" t="s">
        <v>125</v>
      </c>
      <c r="C88" s="1">
        <v>3.0</v>
      </c>
      <c r="D88" s="1">
        <f t="shared" si="1"/>
        <v>4.5</v>
      </c>
      <c r="E88" s="1" t="s">
        <v>173</v>
      </c>
      <c r="F88" s="1">
        <v>8.0</v>
      </c>
      <c r="G88" s="9" t="s">
        <v>192</v>
      </c>
      <c r="H88" s="1" t="str">
        <f t="shared" si="2"/>
        <v>#REF!</v>
      </c>
      <c r="I88" s="10" t="str">
        <f>IFERROR(__xludf.DUMMYFUNCTION("if(or(L88=0),"""",IFERROR(TEXTJOIN("", "",
  TRUE,
  FILTER(
    TRIM(SPLIT(G88, "","")),
    MAP(
      TRIM(SPLIT(G88, "","")),
      LAMBDA(clave,
        COUNTIF('Asignaturas2026-2'!B:B, clave )&gt;0
      )
    )
  )
)))"),"#REF!")</f>
        <v>#REF!</v>
      </c>
      <c r="J88" s="11" t="s">
        <v>147</v>
      </c>
      <c r="K88" s="6" t="str">
        <f t="shared" si="3"/>
        <v>#REF!</v>
      </c>
      <c r="L88" s="6" t="str">
        <f t="shared" si="4"/>
        <v>#REF!</v>
      </c>
      <c r="M88" s="12">
        <v>1.0</v>
      </c>
      <c r="N88" s="6">
        <v>50.0</v>
      </c>
      <c r="O88" s="6">
        <v>4.0</v>
      </c>
      <c r="P88" s="6">
        <v>0.0</v>
      </c>
      <c r="Q88" s="6">
        <v>0.0</v>
      </c>
      <c r="R88" s="6">
        <v>0.0</v>
      </c>
    </row>
    <row r="89" ht="22.5" customHeight="1">
      <c r="A89" s="7" t="s">
        <v>193</v>
      </c>
      <c r="B89" s="7" t="s">
        <v>194</v>
      </c>
      <c r="C89" s="1">
        <v>4.0</v>
      </c>
      <c r="D89" s="1">
        <f t="shared" si="1"/>
        <v>6</v>
      </c>
      <c r="E89" s="1" t="s">
        <v>187</v>
      </c>
      <c r="F89" s="1">
        <v>8.0</v>
      </c>
      <c r="G89" s="9"/>
      <c r="H89" s="1" t="str">
        <f t="shared" si="2"/>
        <v>#REF!</v>
      </c>
      <c r="I89" s="10" t="str">
        <f>IFERROR(__xludf.DUMMYFUNCTION("if(or(L89=0),"""",IFERROR(TEXTJOIN("", "",
  TRUE,
  FILTER(
    TRIM(SPLIT(G89, "","")),
    MAP(
      TRIM(SPLIT(G89, "","")),
      LAMBDA(clave,
        COUNTIF('Asignaturas2026-2'!B:B, clave )&gt;0
      )
    )
  )
)))"),"#REF!")</f>
        <v>#REF!</v>
      </c>
      <c r="J89" s="11" t="s">
        <v>147</v>
      </c>
      <c r="K89" s="6" t="str">
        <f t="shared" si="3"/>
        <v>#REF!</v>
      </c>
      <c r="L89" s="6" t="str">
        <f t="shared" si="4"/>
        <v>#REF!</v>
      </c>
      <c r="M89" s="12">
        <v>1.0</v>
      </c>
      <c r="N89" s="6">
        <v>50.0</v>
      </c>
      <c r="O89" s="6">
        <v>4.0</v>
      </c>
      <c r="P89" s="6">
        <v>2.0</v>
      </c>
      <c r="Q89" s="6">
        <v>0.0</v>
      </c>
      <c r="R89" s="6">
        <v>0.0</v>
      </c>
    </row>
    <row r="90" ht="22.5" customHeight="1">
      <c r="A90" s="7" t="s">
        <v>195</v>
      </c>
      <c r="B90" s="7" t="s">
        <v>196</v>
      </c>
      <c r="C90" s="1">
        <v>4.0</v>
      </c>
      <c r="D90" s="1">
        <f t="shared" si="1"/>
        <v>6</v>
      </c>
      <c r="E90" s="1" t="s">
        <v>177</v>
      </c>
      <c r="F90" s="1">
        <v>8.0</v>
      </c>
      <c r="G90" s="9"/>
      <c r="H90" s="1" t="str">
        <f t="shared" si="2"/>
        <v>#REF!</v>
      </c>
      <c r="I90" s="10" t="str">
        <f>IFERROR(__xludf.DUMMYFUNCTION("if(or(L90=0),"""",IFERROR(TEXTJOIN("", "",
  TRUE,
  FILTER(
    TRIM(SPLIT(G90, "","")),
    MAP(
      TRIM(SPLIT(G90, "","")),
      LAMBDA(clave,
        COUNTIF('Asignaturas2026-2'!B:B, clave )&gt;0
      )
    )
  )
)))"),"#REF!")</f>
        <v>#REF!</v>
      </c>
      <c r="J90" s="11" t="s">
        <v>147</v>
      </c>
      <c r="K90" s="6" t="str">
        <f t="shared" si="3"/>
        <v>#REF!</v>
      </c>
      <c r="L90" s="6" t="str">
        <f t="shared" si="4"/>
        <v>#REF!</v>
      </c>
      <c r="M90" s="12">
        <v>1.0</v>
      </c>
      <c r="N90" s="6">
        <v>50.0</v>
      </c>
      <c r="O90" s="6">
        <v>2.0</v>
      </c>
      <c r="P90" s="6">
        <v>2.0</v>
      </c>
      <c r="Q90" s="6">
        <v>2.0</v>
      </c>
      <c r="R90" s="6">
        <v>0.0</v>
      </c>
    </row>
    <row r="91" ht="22.5" customHeight="1">
      <c r="A91" s="7" t="s">
        <v>197</v>
      </c>
      <c r="B91" s="7" t="s">
        <v>198</v>
      </c>
      <c r="C91" s="1">
        <v>4.0</v>
      </c>
      <c r="D91" s="1">
        <f t="shared" si="1"/>
        <v>6</v>
      </c>
      <c r="E91" s="1" t="s">
        <v>167</v>
      </c>
      <c r="F91" s="1">
        <v>8.0</v>
      </c>
      <c r="G91" s="9"/>
      <c r="H91" s="1" t="str">
        <f t="shared" si="2"/>
        <v>#REF!</v>
      </c>
      <c r="I91" s="10" t="str">
        <f>IFERROR(__xludf.DUMMYFUNCTION("if(or(L91=0),"""",IFERROR(TEXTJOIN("", "",
  TRUE,
  FILTER(
    TRIM(SPLIT(G91, "","")),
    MAP(
      TRIM(SPLIT(G91, "","")),
      LAMBDA(clave,
        COUNTIF('Asignaturas2026-2'!B:B, clave )&gt;0
      )
    )
  )
)))"),"#REF!")</f>
        <v>#REF!</v>
      </c>
      <c r="J91" s="11" t="s">
        <v>147</v>
      </c>
      <c r="K91" s="6" t="str">
        <f t="shared" si="3"/>
        <v>#REF!</v>
      </c>
      <c r="L91" s="6" t="str">
        <f t="shared" si="4"/>
        <v>#REF!</v>
      </c>
      <c r="M91" s="12">
        <v>1.0</v>
      </c>
      <c r="N91" s="6">
        <v>50.0</v>
      </c>
      <c r="O91" s="6">
        <v>2.0</v>
      </c>
      <c r="P91" s="6">
        <v>0.0</v>
      </c>
      <c r="Q91" s="6">
        <v>2.0</v>
      </c>
      <c r="R91" s="6">
        <v>0.0</v>
      </c>
    </row>
    <row r="92" ht="22.5" customHeight="1">
      <c r="A92" s="7" t="s">
        <v>199</v>
      </c>
      <c r="B92" s="7" t="s">
        <v>200</v>
      </c>
      <c r="C92" s="1">
        <v>3.0</v>
      </c>
      <c r="D92" s="1">
        <f t="shared" si="1"/>
        <v>4.5</v>
      </c>
      <c r="E92" s="1" t="s">
        <v>193</v>
      </c>
      <c r="F92" s="1">
        <v>9.0</v>
      </c>
      <c r="G92" s="9"/>
      <c r="H92" s="1" t="str">
        <f t="shared" si="2"/>
        <v>#REF!</v>
      </c>
      <c r="I92" s="10" t="str">
        <f>IFERROR(__xludf.DUMMYFUNCTION("if(or(L92=0),"""",IFERROR(TEXTJOIN("", "",
  TRUE,
  FILTER(
    TRIM(SPLIT(G92, "","")),
    MAP(
      TRIM(SPLIT(G92, "","")),
      LAMBDA(clave,
        COUNTIF('Asignaturas2026-2'!B:B, clave )&gt;0
      )
    )
  )
)))"),"#REF!")</f>
        <v>#REF!</v>
      </c>
      <c r="J92" s="11" t="s">
        <v>147</v>
      </c>
      <c r="K92" s="6" t="str">
        <f t="shared" si="3"/>
        <v>#REF!</v>
      </c>
      <c r="L92" s="6" t="str">
        <f t="shared" si="4"/>
        <v>#REF!</v>
      </c>
      <c r="M92" s="12">
        <v>1.0</v>
      </c>
      <c r="N92" s="6">
        <v>50.0</v>
      </c>
      <c r="O92" s="6">
        <v>2.0</v>
      </c>
      <c r="P92" s="6">
        <v>0.0</v>
      </c>
      <c r="Q92" s="6">
        <v>2.0</v>
      </c>
      <c r="R92" s="6">
        <v>0.0</v>
      </c>
    </row>
    <row r="93" ht="22.5" customHeight="1">
      <c r="A93" s="7" t="s">
        <v>201</v>
      </c>
      <c r="B93" s="7" t="s">
        <v>202</v>
      </c>
      <c r="C93" s="1">
        <v>3.0</v>
      </c>
      <c r="D93" s="1">
        <f t="shared" si="1"/>
        <v>4.5</v>
      </c>
      <c r="E93" s="23" t="s">
        <v>184</v>
      </c>
      <c r="F93" s="1">
        <v>9.0</v>
      </c>
      <c r="G93" s="9"/>
      <c r="H93" s="1" t="str">
        <f t="shared" si="2"/>
        <v>#REF!</v>
      </c>
      <c r="I93" s="10" t="str">
        <f>IFERROR(__xludf.DUMMYFUNCTION("if(or(L93=0),"""",IFERROR(TEXTJOIN("", "",
  TRUE,
  FILTER(
    TRIM(SPLIT(G93, "","")),
    MAP(
      TRIM(SPLIT(G93, "","")),
      LAMBDA(clave,
        COUNTIF('Asignaturas2026-2'!B:B, clave )&gt;0
      )
    )
  )
)))"),"#REF!")</f>
        <v>#REF!</v>
      </c>
      <c r="J93" s="11" t="s">
        <v>147</v>
      </c>
      <c r="K93" s="6" t="str">
        <f t="shared" si="3"/>
        <v>#REF!</v>
      </c>
      <c r="L93" s="6" t="str">
        <f t="shared" si="4"/>
        <v>#REF!</v>
      </c>
      <c r="M93" s="12">
        <v>0.92</v>
      </c>
      <c r="N93" s="6">
        <v>50.0</v>
      </c>
      <c r="O93" s="6">
        <v>4.0</v>
      </c>
      <c r="P93" s="6">
        <v>0.0</v>
      </c>
      <c r="Q93" s="6">
        <v>0.0</v>
      </c>
      <c r="R93" s="6">
        <v>0.0</v>
      </c>
    </row>
    <row r="94" ht="22.5" customHeight="1">
      <c r="A94" s="7" t="s">
        <v>203</v>
      </c>
      <c r="B94" s="7" t="s">
        <v>137</v>
      </c>
      <c r="C94" s="1">
        <v>3.0</v>
      </c>
      <c r="D94" s="1">
        <f t="shared" si="1"/>
        <v>4.5</v>
      </c>
      <c r="E94" s="8"/>
      <c r="F94" s="1">
        <v>9.0</v>
      </c>
      <c r="G94" s="9" t="s">
        <v>204</v>
      </c>
      <c r="H94" s="1" t="str">
        <f t="shared" si="2"/>
        <v>#REF!</v>
      </c>
      <c r="I94" s="10" t="str">
        <f>IFERROR(__xludf.DUMMYFUNCTION("if(or(L94=0),"""",IFERROR(TEXTJOIN("", "",
  TRUE,
  FILTER(
    TRIM(SPLIT(G94, "","")),
    MAP(
      TRIM(SPLIT(G94, "","")),
      LAMBDA(clave,
        COUNTIF('Asignaturas2026-2'!B:B, clave )&gt;0
      )
    )
  )
)))"),"#REF!")</f>
        <v>#REF!</v>
      </c>
      <c r="J94" s="11" t="s">
        <v>147</v>
      </c>
      <c r="K94" s="6" t="str">
        <f t="shared" si="3"/>
        <v>#REF!</v>
      </c>
      <c r="L94" s="6" t="str">
        <f t="shared" si="4"/>
        <v>#REF!</v>
      </c>
      <c r="M94" s="12">
        <v>1.0</v>
      </c>
      <c r="N94" s="6">
        <v>50.0</v>
      </c>
      <c r="O94" s="6">
        <v>4.0</v>
      </c>
      <c r="P94" s="6">
        <v>0.0</v>
      </c>
      <c r="Q94" s="6">
        <v>0.0</v>
      </c>
      <c r="R94" s="6">
        <v>0.0</v>
      </c>
    </row>
    <row r="95" ht="22.5" customHeight="1">
      <c r="A95" s="7" t="s">
        <v>205</v>
      </c>
      <c r="B95" s="7" t="s">
        <v>206</v>
      </c>
      <c r="C95" s="1">
        <v>4.0</v>
      </c>
      <c r="D95" s="1">
        <f t="shared" si="1"/>
        <v>6</v>
      </c>
      <c r="E95" s="23" t="s">
        <v>163</v>
      </c>
      <c r="F95" s="1">
        <v>9.0</v>
      </c>
      <c r="G95" s="9"/>
      <c r="H95" s="1" t="str">
        <f t="shared" si="2"/>
        <v>#REF!</v>
      </c>
      <c r="I95" s="10" t="str">
        <f>IFERROR(__xludf.DUMMYFUNCTION("if(or(L95=0),"""",IFERROR(TEXTJOIN("", "",
  TRUE,
  FILTER(
    TRIM(SPLIT(G95, "","")),
    MAP(
      TRIM(SPLIT(G95, "","")),
      LAMBDA(clave,
        COUNTIF('Asignaturas2026-2'!B:B, clave )&gt;0
      )
    )
  )
)))"),"#REF!")</f>
        <v>#REF!</v>
      </c>
      <c r="J95" s="11" t="s">
        <v>147</v>
      </c>
      <c r="K95" s="6" t="str">
        <f t="shared" si="3"/>
        <v>#REF!</v>
      </c>
      <c r="L95" s="6" t="str">
        <f t="shared" si="4"/>
        <v>#REF!</v>
      </c>
      <c r="M95" s="12">
        <v>1.0</v>
      </c>
      <c r="N95" s="6">
        <v>50.0</v>
      </c>
      <c r="O95" s="6">
        <v>2.0</v>
      </c>
      <c r="P95" s="6">
        <v>2.0</v>
      </c>
      <c r="Q95" s="6">
        <v>2.0</v>
      </c>
      <c r="R95" s="6">
        <v>0.0</v>
      </c>
    </row>
    <row r="96" ht="22.5" customHeight="1">
      <c r="A96" s="7" t="s">
        <v>207</v>
      </c>
      <c r="B96" s="7" t="s">
        <v>208</v>
      </c>
      <c r="C96" s="1">
        <v>4.0</v>
      </c>
      <c r="D96" s="26">
        <f t="shared" si="1"/>
        <v>6</v>
      </c>
      <c r="E96" s="26" t="s">
        <v>184</v>
      </c>
      <c r="F96" s="1">
        <v>9.0</v>
      </c>
      <c r="G96" s="9" t="s">
        <v>209</v>
      </c>
      <c r="H96" s="1" t="str">
        <f t="shared" si="2"/>
        <v>#REF!</v>
      </c>
      <c r="I96" s="10" t="str">
        <f>IFERROR(__xludf.DUMMYFUNCTION("if(or(L96=0),"""",IFERROR(TEXTJOIN("", "",
  TRUE,
  FILTER(
    TRIM(SPLIT(G96, "","")),
    MAP(
      TRIM(SPLIT(G96, "","")),
      LAMBDA(clave,
        COUNTIF('Asignaturas2026-2'!B:B, clave )&gt;0
      )
    )
  )
)))"),"#REF!")</f>
        <v>#REF!</v>
      </c>
      <c r="J96" s="11" t="s">
        <v>147</v>
      </c>
      <c r="K96" s="6" t="str">
        <f t="shared" si="3"/>
        <v>#REF!</v>
      </c>
      <c r="L96" s="6" t="str">
        <f t="shared" si="4"/>
        <v>#REF!</v>
      </c>
      <c r="M96" s="12">
        <v>1.0</v>
      </c>
      <c r="N96" s="6">
        <v>50.0</v>
      </c>
      <c r="O96" s="6">
        <v>4.0</v>
      </c>
      <c r="P96" s="6">
        <v>0.0</v>
      </c>
      <c r="Q96" s="6">
        <v>2.0</v>
      </c>
      <c r="R96" s="6">
        <v>0.0</v>
      </c>
    </row>
    <row r="97" ht="22.5" customHeight="1">
      <c r="A97" s="7" t="s">
        <v>210</v>
      </c>
      <c r="B97" s="7" t="s">
        <v>211</v>
      </c>
      <c r="C97" s="27">
        <v>3.0</v>
      </c>
      <c r="D97" s="27">
        <f t="shared" si="1"/>
        <v>4.5</v>
      </c>
      <c r="E97" s="23" t="s">
        <v>184</v>
      </c>
      <c r="F97" s="28">
        <v>10.0</v>
      </c>
      <c r="G97" s="9"/>
      <c r="H97" s="1" t="str">
        <f t="shared" si="2"/>
        <v>#REF!</v>
      </c>
      <c r="I97" s="10" t="str">
        <f>IFERROR(__xludf.DUMMYFUNCTION("if(or(L97=0),"""",IFERROR(TEXTJOIN("", "",
  TRUE,
  FILTER(
    TRIM(SPLIT(G97, "","")),
    MAP(
      TRIM(SPLIT(G97, "","")),
      LAMBDA(clave,
        COUNTIF('Asignaturas2026-2'!B:B, clave )&gt;0
      )
    )
  )
)))"),"#REF!")</f>
        <v>#REF!</v>
      </c>
      <c r="J97" s="11" t="s">
        <v>147</v>
      </c>
      <c r="K97" s="6" t="str">
        <f t="shared" si="3"/>
        <v>#REF!</v>
      </c>
      <c r="L97" s="6" t="str">
        <f t="shared" si="4"/>
        <v>#REF!</v>
      </c>
      <c r="M97" s="12">
        <v>1.0</v>
      </c>
      <c r="N97" s="6">
        <v>50.0</v>
      </c>
      <c r="O97" s="6">
        <v>4.0</v>
      </c>
      <c r="P97" s="6">
        <v>0.0</v>
      </c>
      <c r="Q97" s="6">
        <v>0.0</v>
      </c>
      <c r="R97" s="6">
        <v>0.0</v>
      </c>
    </row>
    <row r="98" ht="22.5" customHeight="1">
      <c r="A98" s="7" t="s">
        <v>131</v>
      </c>
      <c r="B98" s="7" t="s">
        <v>130</v>
      </c>
      <c r="C98" s="27">
        <v>3.0</v>
      </c>
      <c r="D98" s="27">
        <f t="shared" si="1"/>
        <v>4.5</v>
      </c>
      <c r="E98" s="23" t="s">
        <v>184</v>
      </c>
      <c r="F98" s="28">
        <v>10.0</v>
      </c>
      <c r="G98" s="9" t="s">
        <v>129</v>
      </c>
      <c r="H98" s="1" t="str">
        <f t="shared" si="2"/>
        <v>#REF!</v>
      </c>
      <c r="I98" s="10" t="str">
        <f>IFERROR(__xludf.DUMMYFUNCTION("if(or(L98=0),"""",IFERROR(TEXTJOIN("", "",
  TRUE,
  FILTER(
    TRIM(SPLIT(G98, "","")),
    MAP(
      TRIM(SPLIT(G98, "","")),
      LAMBDA(clave,
        COUNTIF('Asignaturas2026-2'!B:B, clave )&gt;0
      )
    )
  )
)))"),"#REF!")</f>
        <v>#REF!</v>
      </c>
      <c r="J98" s="11" t="s">
        <v>147</v>
      </c>
      <c r="K98" s="6" t="str">
        <f t="shared" si="3"/>
        <v>#REF!</v>
      </c>
      <c r="L98" s="6" t="str">
        <f t="shared" si="4"/>
        <v>#REF!</v>
      </c>
      <c r="M98" s="12">
        <v>1.0</v>
      </c>
      <c r="N98" s="6">
        <v>50.0</v>
      </c>
      <c r="O98" s="6">
        <v>4.0</v>
      </c>
      <c r="P98" s="6">
        <v>0.0</v>
      </c>
      <c r="Q98" s="6">
        <v>0.0</v>
      </c>
      <c r="R98" s="6">
        <v>0.0</v>
      </c>
    </row>
    <row r="99" ht="22.5" customHeight="1">
      <c r="A99" s="7" t="s">
        <v>212</v>
      </c>
      <c r="B99" s="7" t="s">
        <v>213</v>
      </c>
      <c r="C99" s="1">
        <v>4.0</v>
      </c>
      <c r="D99" s="29">
        <f t="shared" si="1"/>
        <v>6</v>
      </c>
      <c r="E99" s="29" t="s">
        <v>201</v>
      </c>
      <c r="F99" s="1">
        <v>10.0</v>
      </c>
      <c r="G99" s="9" t="s">
        <v>214</v>
      </c>
      <c r="H99" s="1" t="str">
        <f t="shared" si="2"/>
        <v>#REF!</v>
      </c>
      <c r="I99" s="10" t="str">
        <f>IFERROR(__xludf.DUMMYFUNCTION("if(or(L99=0),"""",IFERROR(TEXTJOIN("", "",
  TRUE,
  FILTER(
    TRIM(SPLIT(G99, "","")),
    MAP(
      TRIM(SPLIT(G99, "","")),
      LAMBDA(clave,
        COUNTIF('Asignaturas2026-2'!B:B, clave )&gt;0
      )
    )
  )
)))"),"#REF!")</f>
        <v>#REF!</v>
      </c>
      <c r="J99" s="11" t="s">
        <v>147</v>
      </c>
      <c r="K99" s="6" t="str">
        <f t="shared" si="3"/>
        <v>#REF!</v>
      </c>
      <c r="L99" s="6" t="str">
        <f t="shared" si="4"/>
        <v>#REF!</v>
      </c>
      <c r="M99" s="12">
        <v>1.0</v>
      </c>
      <c r="N99" s="6">
        <v>50.0</v>
      </c>
      <c r="O99" s="6">
        <v>4.0</v>
      </c>
      <c r="P99" s="6">
        <v>2.0</v>
      </c>
      <c r="Q99" s="6">
        <v>0.0</v>
      </c>
      <c r="R99" s="6">
        <v>0.0</v>
      </c>
    </row>
    <row r="100" ht="22.5" customHeight="1">
      <c r="A100" s="7" t="s">
        <v>215</v>
      </c>
      <c r="B100" s="7" t="s">
        <v>142</v>
      </c>
      <c r="C100" s="1">
        <v>5.0</v>
      </c>
      <c r="D100" s="1">
        <f t="shared" si="1"/>
        <v>7.5</v>
      </c>
      <c r="E100" s="1" t="s">
        <v>197</v>
      </c>
      <c r="F100" s="1">
        <v>10.0</v>
      </c>
      <c r="G100" s="9" t="s">
        <v>216</v>
      </c>
      <c r="H100" s="1" t="str">
        <f t="shared" si="2"/>
        <v>#REF!</v>
      </c>
      <c r="I100" s="10" t="str">
        <f>IFERROR(__xludf.DUMMYFUNCTION("if(or(L100=0),"""",IFERROR(TEXTJOIN("", "",
  TRUE,
  FILTER(
    TRIM(SPLIT(G100, "","")),
    MAP(
      TRIM(SPLIT(G100, "","")),
      LAMBDA(clave,
        COUNTIF('Asignaturas2026-2'!B:B, clave )&gt;0
      )
    )
  )
)))"),"#REF!")</f>
        <v>#REF!</v>
      </c>
      <c r="J100" s="11" t="s">
        <v>147</v>
      </c>
      <c r="K100" s="6" t="str">
        <f t="shared" si="3"/>
        <v>#REF!</v>
      </c>
      <c r="L100" s="6" t="str">
        <f t="shared" si="4"/>
        <v>#REF!</v>
      </c>
      <c r="M100" s="12">
        <v>1.0</v>
      </c>
      <c r="N100" s="6">
        <v>5.0</v>
      </c>
      <c r="O100" s="6">
        <v>0.0</v>
      </c>
      <c r="P100" s="6">
        <v>0.0</v>
      </c>
      <c r="Q100" s="6">
        <v>0.0</v>
      </c>
      <c r="R100" s="6">
        <v>0.0</v>
      </c>
    </row>
    <row r="101" ht="22.5" customHeight="1">
      <c r="A101" s="7" t="s">
        <v>217</v>
      </c>
      <c r="B101" s="7" t="s">
        <v>146</v>
      </c>
      <c r="C101" s="1">
        <v>12.0</v>
      </c>
      <c r="D101" s="1">
        <f t="shared" si="1"/>
        <v>18</v>
      </c>
      <c r="E101" s="1" t="s">
        <v>215</v>
      </c>
      <c r="F101" s="1">
        <v>11.0</v>
      </c>
      <c r="G101" s="9"/>
      <c r="H101" s="1" t="str">
        <f t="shared" si="2"/>
        <v>#REF!</v>
      </c>
      <c r="I101" s="10" t="str">
        <f>IFERROR(__xludf.DUMMYFUNCTION("if(or(L101=0),"""",IFERROR(TEXTJOIN("", "",
  TRUE,
  FILTER(
    TRIM(SPLIT(G101, "","")),
    MAP(
      TRIM(SPLIT(G101, "","")),
      LAMBDA(clave,
        COUNTIF('Asignaturas2026-2'!B:B, clave )&gt;0
      )
    )
  )
)))"),"#REF!")</f>
        <v>#REF!</v>
      </c>
      <c r="J101" s="11" t="s">
        <v>147</v>
      </c>
      <c r="K101" s="6" t="str">
        <f t="shared" si="3"/>
        <v>#REF!</v>
      </c>
      <c r="L101" s="6" t="str">
        <f t="shared" si="4"/>
        <v>#REF!</v>
      </c>
      <c r="M101" s="12">
        <v>1.0</v>
      </c>
      <c r="N101" s="6"/>
      <c r="O101" s="6">
        <v>0.0</v>
      </c>
      <c r="P101" s="6">
        <v>0.0</v>
      </c>
      <c r="Q101" s="6">
        <v>0.0</v>
      </c>
      <c r="R101" s="6">
        <v>0.0</v>
      </c>
    </row>
    <row r="102" ht="22.5" customHeight="1">
      <c r="A102" s="7" t="s">
        <v>218</v>
      </c>
      <c r="B102" s="30" t="s">
        <v>152</v>
      </c>
      <c r="C102" s="31">
        <v>2.0</v>
      </c>
      <c r="D102" s="31"/>
      <c r="E102" s="32"/>
      <c r="F102" s="31">
        <v>1.0</v>
      </c>
      <c r="G102" s="9" t="s">
        <v>219</v>
      </c>
      <c r="H102" s="1" t="str">
        <f t="shared" si="2"/>
        <v>#REF!</v>
      </c>
      <c r="I102" s="10" t="str">
        <f>IFERROR(__xludf.DUMMYFUNCTION("if(or(L102=0),"""",IFERROR(TEXTJOIN("", "",
  TRUE,
  FILTER(
    TRIM(SPLIT(G102, "","")),
    MAP(
      TRIM(SPLIT(G102, "","")),
      LAMBDA(clave,
        COUNTIF('Asignaturas2026-2'!B:B, clave )&gt;0
      )
    )
  )
)))"),"#REF!")</f>
        <v>#REF!</v>
      </c>
      <c r="J102" s="11" t="s">
        <v>220</v>
      </c>
      <c r="K102" s="6" t="str">
        <f t="shared" si="3"/>
        <v>#REF!</v>
      </c>
      <c r="L102" s="6" t="str">
        <f t="shared" si="4"/>
        <v>#REF!</v>
      </c>
      <c r="M102" s="12">
        <v>1.0</v>
      </c>
      <c r="N102" s="6" t="e">
        <v>#N/A</v>
      </c>
      <c r="O102" s="6" t="e">
        <v>#N/A</v>
      </c>
      <c r="P102" s="6" t="e">
        <v>#N/A</v>
      </c>
      <c r="Q102" s="6" t="e">
        <v>#N/A</v>
      </c>
      <c r="R102" s="6" t="e">
        <v>#N/A</v>
      </c>
    </row>
    <row r="103" ht="22.5" customHeight="1">
      <c r="A103" s="7" t="s">
        <v>221</v>
      </c>
      <c r="B103" s="30" t="s">
        <v>222</v>
      </c>
      <c r="C103" s="31">
        <v>3.0</v>
      </c>
      <c r="D103" s="31"/>
      <c r="E103" s="32"/>
      <c r="F103" s="31">
        <v>1.0</v>
      </c>
      <c r="G103" s="9" t="s">
        <v>223</v>
      </c>
      <c r="H103" s="1" t="str">
        <f t="shared" si="2"/>
        <v>#REF!</v>
      </c>
      <c r="I103" s="10" t="str">
        <f>IFERROR(__xludf.DUMMYFUNCTION("if(or(L103=0),"""",IFERROR(TEXTJOIN("", "",
  TRUE,
  FILTER(
    TRIM(SPLIT(G103, "","")),
    MAP(
      TRIM(SPLIT(G103, "","")),
      LAMBDA(clave,
        COUNTIF('Asignaturas2026-2'!B:B, clave )&gt;0
      )
    )
  )
)))"),"#REF!")</f>
        <v>#REF!</v>
      </c>
      <c r="J103" s="11" t="s">
        <v>220</v>
      </c>
      <c r="K103" s="6" t="str">
        <f t="shared" si="3"/>
        <v>#REF!</v>
      </c>
      <c r="L103" s="6" t="str">
        <f t="shared" si="4"/>
        <v>#REF!</v>
      </c>
      <c r="M103" s="12">
        <v>1.0</v>
      </c>
      <c r="N103" s="6" t="e">
        <v>#N/A</v>
      </c>
      <c r="O103" s="6" t="e">
        <v>#N/A</v>
      </c>
      <c r="P103" s="6" t="e">
        <v>#N/A</v>
      </c>
      <c r="Q103" s="6" t="e">
        <v>#N/A</v>
      </c>
      <c r="R103" s="6" t="e">
        <v>#N/A</v>
      </c>
    </row>
    <row r="104" ht="22.5" customHeight="1">
      <c r="A104" s="7" t="s">
        <v>224</v>
      </c>
      <c r="B104" s="30" t="s">
        <v>23</v>
      </c>
      <c r="C104" s="31">
        <v>4.0</v>
      </c>
      <c r="D104" s="31"/>
      <c r="E104" s="32"/>
      <c r="F104" s="31">
        <v>1.0</v>
      </c>
      <c r="G104" s="9" t="s">
        <v>225</v>
      </c>
      <c r="H104" s="1" t="str">
        <f t="shared" si="2"/>
        <v>#REF!</v>
      </c>
      <c r="I104" s="10" t="str">
        <f>IFERROR(__xludf.DUMMYFUNCTION("if(or(L104=0),"""",IFERROR(TEXTJOIN("", "",
  TRUE,
  FILTER(
    TRIM(SPLIT(G104, "","")),
    MAP(
      TRIM(SPLIT(G104, "","")),
      LAMBDA(clave,
        COUNTIF('Asignaturas2026-2'!B:B, clave )&gt;0
      )
    )
  )
)))"),"#REF!")</f>
        <v>#REF!</v>
      </c>
      <c r="J104" s="11" t="s">
        <v>220</v>
      </c>
      <c r="K104" s="6" t="str">
        <f t="shared" si="3"/>
        <v>#REF!</v>
      </c>
      <c r="L104" s="6" t="str">
        <f t="shared" si="4"/>
        <v>#REF!</v>
      </c>
      <c r="M104" s="12">
        <v>1.0</v>
      </c>
      <c r="N104" s="6" t="e">
        <v>#N/A</v>
      </c>
      <c r="O104" s="6" t="e">
        <v>#N/A</v>
      </c>
      <c r="P104" s="6" t="e">
        <v>#N/A</v>
      </c>
      <c r="Q104" s="6" t="e">
        <v>#N/A</v>
      </c>
      <c r="R104" s="6" t="e">
        <v>#N/A</v>
      </c>
    </row>
    <row r="105" ht="22.5" customHeight="1">
      <c r="A105" s="7" t="s">
        <v>226</v>
      </c>
      <c r="B105" s="30" t="s">
        <v>227</v>
      </c>
      <c r="C105" s="31">
        <v>5.0</v>
      </c>
      <c r="D105" s="31"/>
      <c r="E105" s="32"/>
      <c r="F105" s="31">
        <v>1.0</v>
      </c>
      <c r="G105" s="9" t="s">
        <v>228</v>
      </c>
      <c r="H105" s="1" t="str">
        <f t="shared" si="2"/>
        <v>#REF!</v>
      </c>
      <c r="I105" s="10" t="str">
        <f>IFERROR(__xludf.DUMMYFUNCTION("if(or(L105=0),"""",IFERROR(TEXTJOIN("", "",
  TRUE,
  FILTER(
    TRIM(SPLIT(G105, "","")),
    MAP(
      TRIM(SPLIT(G105, "","")),
      LAMBDA(clave,
        COUNTIF('Asignaturas2026-2'!B:B, clave )&gt;0
      )
    )
  )
)))"),"#REF!")</f>
        <v>#REF!</v>
      </c>
      <c r="J105" s="11" t="s">
        <v>220</v>
      </c>
      <c r="K105" s="6" t="str">
        <f t="shared" si="3"/>
        <v>#REF!</v>
      </c>
      <c r="L105" s="6" t="str">
        <f t="shared" si="4"/>
        <v>#REF!</v>
      </c>
      <c r="M105" s="12">
        <v>1.0</v>
      </c>
      <c r="N105" s="6" t="e">
        <v>#N/A</v>
      </c>
      <c r="O105" s="6" t="e">
        <v>#N/A</v>
      </c>
      <c r="P105" s="6" t="e">
        <v>#N/A</v>
      </c>
      <c r="Q105" s="6" t="e">
        <v>#N/A</v>
      </c>
      <c r="R105" s="6" t="e">
        <v>#N/A</v>
      </c>
    </row>
    <row r="106" ht="22.5" customHeight="1">
      <c r="A106" s="7" t="s">
        <v>229</v>
      </c>
      <c r="B106" s="30" t="s">
        <v>230</v>
      </c>
      <c r="C106" s="31">
        <v>3.0</v>
      </c>
      <c r="D106" s="31"/>
      <c r="E106" s="32"/>
      <c r="F106" s="31">
        <v>2.0</v>
      </c>
      <c r="G106" s="9" t="s">
        <v>231</v>
      </c>
      <c r="H106" s="1" t="str">
        <f t="shared" si="2"/>
        <v>#REF!</v>
      </c>
      <c r="I106" s="10" t="str">
        <f>IFERROR(__xludf.DUMMYFUNCTION("if(or(L106=0),"""",IFERROR(TEXTJOIN("", "",
  TRUE,
  FILTER(
    TRIM(SPLIT(G106, "","")),
    MAP(
      TRIM(SPLIT(G106, "","")),
      LAMBDA(clave,
        COUNTIF('Asignaturas2026-2'!B:B, clave )&gt;0
      )
    )
  )
)))"),"#REF!")</f>
        <v>#REF!</v>
      </c>
      <c r="J106" s="11" t="s">
        <v>220</v>
      </c>
      <c r="K106" s="6" t="str">
        <f t="shared" si="3"/>
        <v>#REF!</v>
      </c>
      <c r="L106" s="6" t="str">
        <f t="shared" si="4"/>
        <v>#REF!</v>
      </c>
      <c r="M106" s="12">
        <v>1.0</v>
      </c>
      <c r="N106" s="6">
        <v>50.0</v>
      </c>
      <c r="O106" s="6">
        <v>4.0</v>
      </c>
      <c r="P106" s="6">
        <v>0.0</v>
      </c>
      <c r="Q106" s="6">
        <v>0.0</v>
      </c>
      <c r="R106" s="6">
        <v>4.0</v>
      </c>
    </row>
    <row r="107" ht="22.5" customHeight="1">
      <c r="A107" s="7" t="s">
        <v>232</v>
      </c>
      <c r="B107" s="30" t="s">
        <v>35</v>
      </c>
      <c r="C107" s="31">
        <v>4.0</v>
      </c>
      <c r="D107" s="31"/>
      <c r="E107" s="31" t="s">
        <v>233</v>
      </c>
      <c r="F107" s="31">
        <v>2.0</v>
      </c>
      <c r="G107" s="9" t="s">
        <v>234</v>
      </c>
      <c r="H107" s="1" t="str">
        <f t="shared" si="2"/>
        <v>#REF!</v>
      </c>
      <c r="I107" s="10" t="str">
        <f>IFERROR(__xludf.DUMMYFUNCTION("if(or(L107=0),"""",IFERROR(TEXTJOIN("", "",
  TRUE,
  FILTER(
    TRIM(SPLIT(G107, "","")),
    MAP(
      TRIM(SPLIT(G107, "","")),
      LAMBDA(clave,
        COUNTIF('Asignaturas2026-2'!B:B, clave )&gt;0
      )
    )
  )
)))"),"#REF!")</f>
        <v>#REF!</v>
      </c>
      <c r="J107" s="11" t="s">
        <v>220</v>
      </c>
      <c r="K107" s="6" t="str">
        <f t="shared" si="3"/>
        <v>#REF!</v>
      </c>
      <c r="L107" s="6" t="str">
        <f t="shared" si="4"/>
        <v>#REF!</v>
      </c>
      <c r="M107" s="12">
        <v>1.0</v>
      </c>
      <c r="N107" s="6" t="e">
        <v>#N/A</v>
      </c>
      <c r="O107" s="6" t="e">
        <v>#N/A</v>
      </c>
      <c r="P107" s="6" t="e">
        <v>#N/A</v>
      </c>
      <c r="Q107" s="6" t="e">
        <v>#N/A</v>
      </c>
      <c r="R107" s="6" t="e">
        <v>#N/A</v>
      </c>
    </row>
    <row r="108" ht="22.5" customHeight="1">
      <c r="A108" s="7" t="s">
        <v>235</v>
      </c>
      <c r="B108" s="30" t="s">
        <v>41</v>
      </c>
      <c r="C108" s="31">
        <v>4.0</v>
      </c>
      <c r="D108" s="31"/>
      <c r="E108" s="31" t="s">
        <v>236</v>
      </c>
      <c r="F108" s="31">
        <v>2.0</v>
      </c>
      <c r="G108" s="9" t="s">
        <v>237</v>
      </c>
      <c r="H108" s="1" t="str">
        <f t="shared" si="2"/>
        <v>#REF!</v>
      </c>
      <c r="I108" s="10" t="str">
        <f>IFERROR(__xludf.DUMMYFUNCTION("if(or(L108=0),"""",IFERROR(TEXTJOIN("", "",
  TRUE,
  FILTER(
    TRIM(SPLIT(G108, "","")),
    MAP(
      TRIM(SPLIT(G108, "","")),
      LAMBDA(clave,
        COUNTIF('Asignaturas2026-2'!B:B, clave )&gt;0
      )
    )
  )
)))"),"#REF!")</f>
        <v>#REF!</v>
      </c>
      <c r="J108" s="11" t="s">
        <v>220</v>
      </c>
      <c r="K108" s="6" t="str">
        <f t="shared" si="3"/>
        <v>#REF!</v>
      </c>
      <c r="L108" s="6" t="str">
        <f t="shared" si="4"/>
        <v>#REF!</v>
      </c>
      <c r="M108" s="12">
        <v>1.0</v>
      </c>
      <c r="N108" s="6" t="e">
        <v>#N/A</v>
      </c>
      <c r="O108" s="6" t="e">
        <v>#N/A</v>
      </c>
      <c r="P108" s="6" t="e">
        <v>#N/A</v>
      </c>
      <c r="Q108" s="6" t="e">
        <v>#N/A</v>
      </c>
      <c r="R108" s="6" t="e">
        <v>#N/A</v>
      </c>
    </row>
    <row r="109" ht="22.5" customHeight="1">
      <c r="A109" s="7" t="s">
        <v>238</v>
      </c>
      <c r="B109" s="30" t="s">
        <v>239</v>
      </c>
      <c r="C109" s="31">
        <v>4.0</v>
      </c>
      <c r="D109" s="31"/>
      <c r="E109" s="31" t="s">
        <v>236</v>
      </c>
      <c r="F109" s="31">
        <v>2.0</v>
      </c>
      <c r="G109" s="9" t="s">
        <v>240</v>
      </c>
      <c r="H109" s="1" t="str">
        <f t="shared" si="2"/>
        <v>#REF!</v>
      </c>
      <c r="I109" s="10" t="str">
        <f>IFERROR(__xludf.DUMMYFUNCTION("if(or(L109=0),"""",IFERROR(TEXTJOIN("", "",
  TRUE,
  FILTER(
    TRIM(SPLIT(G109, "","")),
    MAP(
      TRIM(SPLIT(G109, "","")),
      LAMBDA(clave,
        COUNTIF('Asignaturas2026-2'!B:B, clave )&gt;0
      )
    )
  )
)))"),"#REF!")</f>
        <v>#REF!</v>
      </c>
      <c r="J109" s="11" t="s">
        <v>220</v>
      </c>
      <c r="K109" s="6" t="str">
        <f t="shared" si="3"/>
        <v>#REF!</v>
      </c>
      <c r="L109" s="6" t="str">
        <f t="shared" si="4"/>
        <v>#REF!</v>
      </c>
      <c r="M109" s="12">
        <v>1.0</v>
      </c>
      <c r="N109" s="6" t="e">
        <v>#N/A</v>
      </c>
      <c r="O109" s="6" t="e">
        <v>#N/A</v>
      </c>
      <c r="P109" s="6" t="e">
        <v>#N/A</v>
      </c>
      <c r="Q109" s="6" t="e">
        <v>#N/A</v>
      </c>
      <c r="R109" s="6" t="e">
        <v>#N/A</v>
      </c>
    </row>
    <row r="110" ht="22.5" customHeight="1">
      <c r="A110" s="7" t="s">
        <v>241</v>
      </c>
      <c r="B110" s="30" t="s">
        <v>242</v>
      </c>
      <c r="C110" s="31">
        <v>3.0</v>
      </c>
      <c r="D110" s="31"/>
      <c r="E110" s="31" t="s">
        <v>243</v>
      </c>
      <c r="F110" s="31">
        <v>3.0</v>
      </c>
      <c r="G110" s="9" t="s">
        <v>244</v>
      </c>
      <c r="H110" s="1" t="str">
        <f t="shared" si="2"/>
        <v>#REF!</v>
      </c>
      <c r="I110" s="10" t="str">
        <f>IFERROR(__xludf.DUMMYFUNCTION("if(or(L110=0),"""",IFERROR(TEXTJOIN("", "",
  TRUE,
  FILTER(
    TRIM(SPLIT(G110, "","")),
    MAP(
      TRIM(SPLIT(G110, "","")),
      LAMBDA(clave,
        COUNTIF('Asignaturas2026-2'!B:B, clave )&gt;0
      )
    )
  )
)))"),"#REF!")</f>
        <v>#REF!</v>
      </c>
      <c r="J110" s="11" t="s">
        <v>220</v>
      </c>
      <c r="K110" s="6" t="str">
        <f t="shared" si="3"/>
        <v>#REF!</v>
      </c>
      <c r="L110" s="6" t="str">
        <f t="shared" si="4"/>
        <v>#REF!</v>
      </c>
      <c r="M110" s="12">
        <v>1.0</v>
      </c>
      <c r="N110" s="6" t="e">
        <v>#N/A</v>
      </c>
      <c r="O110" s="6" t="e">
        <v>#N/A</v>
      </c>
      <c r="P110" s="6" t="e">
        <v>#N/A</v>
      </c>
      <c r="Q110" s="6" t="e">
        <v>#N/A</v>
      </c>
      <c r="R110" s="6" t="e">
        <v>#N/A</v>
      </c>
    </row>
    <row r="111" ht="22.5" customHeight="1">
      <c r="A111" s="7" t="s">
        <v>245</v>
      </c>
      <c r="B111" s="30" t="s">
        <v>102</v>
      </c>
      <c r="C111" s="31">
        <v>3.0</v>
      </c>
      <c r="D111" s="31"/>
      <c r="E111" s="32"/>
      <c r="F111" s="33">
        <v>3.0</v>
      </c>
      <c r="G111" s="9" t="s">
        <v>246</v>
      </c>
      <c r="H111" s="1" t="str">
        <f t="shared" si="2"/>
        <v>#REF!</v>
      </c>
      <c r="I111" s="10" t="str">
        <f>IFERROR(__xludf.DUMMYFUNCTION("if(or(L111=0),"""",IFERROR(TEXTJOIN("", "",
  TRUE,
  FILTER(
    TRIM(SPLIT(G111, "","")),
    MAP(
      TRIM(SPLIT(G111, "","")),
      LAMBDA(clave,
        COUNTIF('Asignaturas2026-2'!B:B, clave )&gt;0
      )
    )
  )
)))"),"#REF!")</f>
        <v>#REF!</v>
      </c>
      <c r="J111" s="11" t="s">
        <v>220</v>
      </c>
      <c r="K111" s="6" t="str">
        <f t="shared" si="3"/>
        <v>#REF!</v>
      </c>
      <c r="L111" s="6" t="str">
        <f t="shared" si="4"/>
        <v>#REF!</v>
      </c>
      <c r="M111" s="12">
        <v>1.0</v>
      </c>
      <c r="N111" s="6">
        <v>50.0</v>
      </c>
      <c r="O111" s="6">
        <v>4.0</v>
      </c>
      <c r="P111" s="6">
        <v>0.0</v>
      </c>
      <c r="Q111" s="6">
        <v>0.0</v>
      </c>
      <c r="R111" s="6">
        <v>0.0</v>
      </c>
    </row>
    <row r="112" ht="22.5" customHeight="1">
      <c r="A112" s="7" t="s">
        <v>247</v>
      </c>
      <c r="B112" s="30" t="s">
        <v>248</v>
      </c>
      <c r="C112" s="31">
        <v>3.0</v>
      </c>
      <c r="D112" s="31"/>
      <c r="E112" s="32"/>
      <c r="F112" s="31">
        <v>3.0</v>
      </c>
      <c r="G112" s="9" t="s">
        <v>249</v>
      </c>
      <c r="H112" s="1" t="str">
        <f t="shared" si="2"/>
        <v>#REF!</v>
      </c>
      <c r="I112" s="10" t="str">
        <f>IFERROR(__xludf.DUMMYFUNCTION("if(or(L112=0),"""",IFERROR(TEXTJOIN("", "",
  TRUE,
  FILTER(
    TRIM(SPLIT(G112, "","")),
    MAP(
      TRIM(SPLIT(G112, "","")),
      LAMBDA(clave,
        COUNTIF('Asignaturas2026-2'!B:B, clave )&gt;0
      )
    )
  )
)))"),"#REF!")</f>
        <v>#REF!</v>
      </c>
      <c r="J112" s="11" t="s">
        <v>220</v>
      </c>
      <c r="K112" s="6" t="str">
        <f t="shared" si="3"/>
        <v>#REF!</v>
      </c>
      <c r="L112" s="6" t="str">
        <f t="shared" si="4"/>
        <v>#REF!</v>
      </c>
      <c r="M112" s="12">
        <v>1.0</v>
      </c>
      <c r="N112" s="6" t="e">
        <v>#N/A</v>
      </c>
      <c r="O112" s="6" t="e">
        <v>#N/A</v>
      </c>
      <c r="P112" s="6" t="e">
        <v>#N/A</v>
      </c>
      <c r="Q112" s="6" t="e">
        <v>#N/A</v>
      </c>
      <c r="R112" s="6" t="e">
        <v>#N/A</v>
      </c>
    </row>
    <row r="113" ht="22.5" customHeight="1">
      <c r="A113" s="7" t="s">
        <v>250</v>
      </c>
      <c r="B113" s="30" t="s">
        <v>251</v>
      </c>
      <c r="C113" s="31">
        <v>3.0</v>
      </c>
      <c r="D113" s="31"/>
      <c r="E113" s="31" t="s">
        <v>243</v>
      </c>
      <c r="F113" s="31">
        <v>3.0</v>
      </c>
      <c r="G113" s="9" t="s">
        <v>252</v>
      </c>
      <c r="H113" s="1" t="str">
        <f t="shared" si="2"/>
        <v>#REF!</v>
      </c>
      <c r="I113" s="10" t="str">
        <f>IFERROR(__xludf.DUMMYFUNCTION("if(or(L113=0),"""",IFERROR(TEXTJOIN("", "",
  TRUE,
  FILTER(
    TRIM(SPLIT(G113, "","")),
    MAP(
      TRIM(SPLIT(G113, "","")),
      LAMBDA(clave,
        COUNTIF('Asignaturas2026-2'!B:B, clave )&gt;0
      )
    )
  )
)))"),"#REF!")</f>
        <v>#REF!</v>
      </c>
      <c r="J113" s="11" t="s">
        <v>220</v>
      </c>
      <c r="K113" s="6" t="str">
        <f t="shared" si="3"/>
        <v>#REF!</v>
      </c>
      <c r="L113" s="6" t="str">
        <f t="shared" si="4"/>
        <v>#REF!</v>
      </c>
      <c r="M113" s="12">
        <v>1.0</v>
      </c>
      <c r="N113" s="6" t="e">
        <v>#N/A</v>
      </c>
      <c r="O113" s="6" t="e">
        <v>#N/A</v>
      </c>
      <c r="P113" s="6" t="e">
        <v>#N/A</v>
      </c>
      <c r="Q113" s="6" t="e">
        <v>#N/A</v>
      </c>
      <c r="R113" s="6" t="e">
        <v>#N/A</v>
      </c>
    </row>
    <row r="114" ht="22.5" customHeight="1">
      <c r="A114" s="7" t="s">
        <v>253</v>
      </c>
      <c r="B114" s="30" t="s">
        <v>49</v>
      </c>
      <c r="C114" s="31">
        <v>4.0</v>
      </c>
      <c r="D114" s="31"/>
      <c r="E114" s="31" t="s">
        <v>254</v>
      </c>
      <c r="F114" s="33">
        <v>3.0</v>
      </c>
      <c r="G114" s="9" t="s">
        <v>255</v>
      </c>
      <c r="H114" s="1" t="str">
        <f t="shared" si="2"/>
        <v>#REF!</v>
      </c>
      <c r="I114" s="10" t="str">
        <f>IFERROR(__xludf.DUMMYFUNCTION("if(or(L114=0),"""",IFERROR(TEXTJOIN("", "",
  TRUE,
  FILTER(
    TRIM(SPLIT(G114, "","")),
    MAP(
      TRIM(SPLIT(G114, "","")),
      LAMBDA(clave,
        COUNTIF('Asignaturas2026-2'!B:B, clave )&gt;0
      )
    )
  )
)))"),"#REF!")</f>
        <v>#REF!</v>
      </c>
      <c r="J114" s="11" t="s">
        <v>220</v>
      </c>
      <c r="K114" s="6" t="str">
        <f t="shared" si="3"/>
        <v>#REF!</v>
      </c>
      <c r="L114" s="6" t="str">
        <f t="shared" si="4"/>
        <v>#REF!</v>
      </c>
      <c r="M114" s="12">
        <v>0.9533333333333333</v>
      </c>
      <c r="N114" s="6">
        <v>50.0</v>
      </c>
      <c r="O114" s="6">
        <v>4.0</v>
      </c>
      <c r="P114" s="6">
        <v>2.0</v>
      </c>
      <c r="Q114" s="6">
        <v>0.0</v>
      </c>
      <c r="R114" s="6">
        <v>0.0</v>
      </c>
    </row>
    <row r="115" ht="22.5" customHeight="1">
      <c r="A115" s="7" t="s">
        <v>256</v>
      </c>
      <c r="B115" s="30" t="s">
        <v>60</v>
      </c>
      <c r="C115" s="31">
        <v>3.0</v>
      </c>
      <c r="D115" s="31"/>
      <c r="E115" s="31" t="s">
        <v>257</v>
      </c>
      <c r="F115" s="33">
        <v>4.0</v>
      </c>
      <c r="G115" s="9" t="s">
        <v>258</v>
      </c>
      <c r="H115" s="1" t="str">
        <f t="shared" si="2"/>
        <v>#REF!</v>
      </c>
      <c r="I115" s="10" t="str">
        <f>IFERROR(__xludf.DUMMYFUNCTION("if(or(L115=0),"""",IFERROR(TEXTJOIN("", "",
  TRUE,
  FILTER(
    TRIM(SPLIT(G115, "","")),
    MAP(
      TRIM(SPLIT(G115, "","")),
      LAMBDA(clave,
        COUNTIF('Asignaturas2026-2'!B:B, clave )&gt;0
      )
    )
  )
)))"),"#REF!")</f>
        <v>#REF!</v>
      </c>
      <c r="J115" s="11" t="s">
        <v>220</v>
      </c>
      <c r="K115" s="6" t="str">
        <f t="shared" si="3"/>
        <v>#REF!</v>
      </c>
      <c r="L115" s="6" t="str">
        <f t="shared" si="4"/>
        <v>#REF!</v>
      </c>
      <c r="M115" s="12">
        <v>1.0</v>
      </c>
      <c r="N115" s="6">
        <v>50.0</v>
      </c>
      <c r="O115" s="6">
        <v>2.0</v>
      </c>
      <c r="P115" s="6">
        <v>2.0</v>
      </c>
      <c r="Q115" s="6">
        <v>2.0</v>
      </c>
      <c r="R115" s="6">
        <v>0.0</v>
      </c>
    </row>
    <row r="116" ht="22.5" customHeight="1">
      <c r="A116" s="7" t="s">
        <v>259</v>
      </c>
      <c r="B116" s="30" t="s">
        <v>76</v>
      </c>
      <c r="C116" s="31">
        <v>3.0</v>
      </c>
      <c r="D116" s="31"/>
      <c r="E116" s="32"/>
      <c r="F116" s="31">
        <v>4.0</v>
      </c>
      <c r="G116" s="9" t="s">
        <v>260</v>
      </c>
      <c r="H116" s="1" t="str">
        <f t="shared" si="2"/>
        <v>#REF!</v>
      </c>
      <c r="I116" s="10" t="str">
        <f>IFERROR(__xludf.DUMMYFUNCTION("if(or(L116=0),"""",IFERROR(TEXTJOIN("", "",
  TRUE,
  FILTER(
    TRIM(SPLIT(G116, "","")),
    MAP(
      TRIM(SPLIT(G116, "","")),
      LAMBDA(clave,
        COUNTIF('Asignaturas2026-2'!B:B, clave )&gt;0
      )
    )
  )
)))"),"#REF!")</f>
        <v>#REF!</v>
      </c>
      <c r="J116" s="11" t="s">
        <v>220</v>
      </c>
      <c r="K116" s="6" t="str">
        <f t="shared" si="3"/>
        <v>#REF!</v>
      </c>
      <c r="L116" s="6" t="str">
        <f t="shared" si="4"/>
        <v>#REF!</v>
      </c>
      <c r="M116" s="12">
        <v>1.0</v>
      </c>
      <c r="N116" s="6" t="e">
        <v>#N/A</v>
      </c>
      <c r="O116" s="6" t="e">
        <v>#N/A</v>
      </c>
      <c r="P116" s="6" t="e">
        <v>#N/A</v>
      </c>
      <c r="Q116" s="6" t="e">
        <v>#N/A</v>
      </c>
      <c r="R116" s="6" t="e">
        <v>#N/A</v>
      </c>
    </row>
    <row r="117" ht="22.5" customHeight="1">
      <c r="A117" s="7" t="s">
        <v>261</v>
      </c>
      <c r="B117" s="30" t="s">
        <v>262</v>
      </c>
      <c r="C117" s="31">
        <v>3.0</v>
      </c>
      <c r="D117" s="31"/>
      <c r="E117" s="31" t="s">
        <v>263</v>
      </c>
      <c r="F117" s="31">
        <v>4.0</v>
      </c>
      <c r="G117" s="9" t="s">
        <v>264</v>
      </c>
      <c r="H117" s="1" t="str">
        <f t="shared" si="2"/>
        <v>#REF!</v>
      </c>
      <c r="I117" s="10" t="str">
        <f>IFERROR(__xludf.DUMMYFUNCTION("if(or(L117=0),"""",IFERROR(TEXTJOIN("", "",
  TRUE,
  FILTER(
    TRIM(SPLIT(G117, "","")),
    MAP(
      TRIM(SPLIT(G117, "","")),
      LAMBDA(clave,
        COUNTIF('Asignaturas2026-2'!B:B, clave )&gt;0
      )
    )
  )
)))"),"#REF!")</f>
        <v>#REF!</v>
      </c>
      <c r="J117" s="11" t="s">
        <v>220</v>
      </c>
      <c r="K117" s="6" t="str">
        <f t="shared" si="3"/>
        <v>#REF!</v>
      </c>
      <c r="L117" s="6" t="str">
        <f t="shared" si="4"/>
        <v>#REF!</v>
      </c>
      <c r="M117" s="12">
        <v>1.0</v>
      </c>
      <c r="N117" s="6" t="e">
        <v>#N/A</v>
      </c>
      <c r="O117" s="6" t="e">
        <v>#N/A</v>
      </c>
      <c r="P117" s="6" t="e">
        <v>#N/A</v>
      </c>
      <c r="Q117" s="6" t="e">
        <v>#N/A</v>
      </c>
      <c r="R117" s="6" t="e">
        <v>#N/A</v>
      </c>
    </row>
    <row r="118" ht="22.5" customHeight="1">
      <c r="A118" s="7" t="s">
        <v>265</v>
      </c>
      <c r="B118" s="30" t="s">
        <v>266</v>
      </c>
      <c r="C118" s="31">
        <v>3.0</v>
      </c>
      <c r="D118" s="31"/>
      <c r="E118" s="31" t="s">
        <v>257</v>
      </c>
      <c r="F118" s="31">
        <v>4.0</v>
      </c>
      <c r="G118" s="9" t="s">
        <v>267</v>
      </c>
      <c r="H118" s="1" t="str">
        <f t="shared" si="2"/>
        <v>#REF!</v>
      </c>
      <c r="I118" s="10" t="str">
        <f>IFERROR(__xludf.DUMMYFUNCTION("if(or(L118=0),"""",IFERROR(TEXTJOIN("", "",
  TRUE,
  FILTER(
    TRIM(SPLIT(G118, "","")),
    MAP(
      TRIM(SPLIT(G118, "","")),
      LAMBDA(clave,
        COUNTIF('Asignaturas2026-2'!B:B, clave )&gt;0
      )
    )
  )
)))"),"#REF!")</f>
        <v>#REF!</v>
      </c>
      <c r="J118" s="11" t="s">
        <v>220</v>
      </c>
      <c r="K118" s="6" t="str">
        <f t="shared" si="3"/>
        <v>#REF!</v>
      </c>
      <c r="L118" s="6" t="str">
        <f t="shared" si="4"/>
        <v>#REF!</v>
      </c>
      <c r="M118" s="12">
        <v>1.0</v>
      </c>
      <c r="N118" s="6">
        <v>50.0</v>
      </c>
      <c r="O118" s="6">
        <v>4.0</v>
      </c>
      <c r="P118" s="6">
        <v>2.0</v>
      </c>
      <c r="Q118" s="6">
        <v>0.0</v>
      </c>
      <c r="R118" s="6">
        <v>0.0</v>
      </c>
    </row>
    <row r="119" ht="22.5" customHeight="1">
      <c r="A119" s="7" t="s">
        <v>268</v>
      </c>
      <c r="B119" s="30" t="s">
        <v>55</v>
      </c>
      <c r="C119" s="31">
        <v>3.0</v>
      </c>
      <c r="D119" s="31"/>
      <c r="E119" s="31" t="s">
        <v>269</v>
      </c>
      <c r="F119" s="31">
        <v>4.0</v>
      </c>
      <c r="G119" s="9" t="s">
        <v>270</v>
      </c>
      <c r="H119" s="1" t="str">
        <f t="shared" si="2"/>
        <v>#REF!</v>
      </c>
      <c r="I119" s="10" t="str">
        <f>IFERROR(__xludf.DUMMYFUNCTION("if(or(L119=0),"""",IFERROR(TEXTJOIN("", "",
  TRUE,
  FILTER(
    TRIM(SPLIT(G119, "","")),
    MAP(
      TRIM(SPLIT(G119, "","")),
      LAMBDA(clave,
        COUNTIF('Asignaturas2026-2'!B:B, clave )&gt;0
      )
    )
  )
)))"),"#REF!")</f>
        <v>#REF!</v>
      </c>
      <c r="J119" s="11" t="s">
        <v>220</v>
      </c>
      <c r="K119" s="6" t="str">
        <f t="shared" si="3"/>
        <v>#REF!</v>
      </c>
      <c r="L119" s="6" t="str">
        <f t="shared" si="4"/>
        <v>#REF!</v>
      </c>
      <c r="M119" s="12">
        <v>1.0</v>
      </c>
      <c r="N119" s="6" t="e">
        <v>#N/A</v>
      </c>
      <c r="O119" s="6" t="e">
        <v>#N/A</v>
      </c>
      <c r="P119" s="6" t="e">
        <v>#N/A</v>
      </c>
      <c r="Q119" s="6" t="e">
        <v>#N/A</v>
      </c>
      <c r="R119" s="6" t="e">
        <v>#N/A</v>
      </c>
    </row>
    <row r="120" ht="22.5" customHeight="1">
      <c r="A120" s="7" t="s">
        <v>271</v>
      </c>
      <c r="B120" s="30" t="s">
        <v>272</v>
      </c>
      <c r="C120" s="31">
        <v>3.0</v>
      </c>
      <c r="D120" s="31"/>
      <c r="E120" s="31" t="s">
        <v>269</v>
      </c>
      <c r="F120" s="31">
        <v>5.0</v>
      </c>
      <c r="G120" s="9" t="s">
        <v>273</v>
      </c>
      <c r="H120" s="1" t="str">
        <f t="shared" si="2"/>
        <v>#REF!</v>
      </c>
      <c r="I120" s="10" t="str">
        <f>IFERROR(__xludf.DUMMYFUNCTION("if(or(L120=0),"""",IFERROR(TEXTJOIN("", "",
  TRUE,
  FILTER(
    TRIM(SPLIT(G120, "","")),
    MAP(
      TRIM(SPLIT(G120, "","")),
      LAMBDA(clave,
        COUNTIF('Asignaturas2026-2'!B:B, clave )&gt;0
      )
    )
  )
)))"),"#REF!")</f>
        <v>#REF!</v>
      </c>
      <c r="J120" s="11" t="s">
        <v>220</v>
      </c>
      <c r="K120" s="6" t="str">
        <f t="shared" si="3"/>
        <v>#REF!</v>
      </c>
      <c r="L120" s="6" t="str">
        <f t="shared" si="4"/>
        <v>#REF!</v>
      </c>
      <c r="M120" s="12">
        <v>1.0</v>
      </c>
      <c r="N120" s="6" t="e">
        <v>#N/A</v>
      </c>
      <c r="O120" s="6" t="e">
        <v>#N/A</v>
      </c>
      <c r="P120" s="6" t="e">
        <v>#N/A</v>
      </c>
      <c r="Q120" s="6" t="e">
        <v>#N/A</v>
      </c>
      <c r="R120" s="6" t="e">
        <v>#N/A</v>
      </c>
    </row>
    <row r="121" ht="22.5" customHeight="1">
      <c r="A121" s="7" t="s">
        <v>274</v>
      </c>
      <c r="B121" s="30" t="s">
        <v>275</v>
      </c>
      <c r="C121" s="31">
        <v>3.0</v>
      </c>
      <c r="D121" s="31"/>
      <c r="E121" s="31" t="s">
        <v>59</v>
      </c>
      <c r="F121" s="31">
        <v>5.0</v>
      </c>
      <c r="G121" s="9" t="s">
        <v>276</v>
      </c>
      <c r="H121" s="1" t="str">
        <f t="shared" si="2"/>
        <v>#REF!</v>
      </c>
      <c r="I121" s="10" t="str">
        <f>IFERROR(__xludf.DUMMYFUNCTION("if(or(L121=0),"""",IFERROR(TEXTJOIN("", "",
  TRUE,
  FILTER(
    TRIM(SPLIT(G121, "","")),
    MAP(
      TRIM(SPLIT(G121, "","")),
      LAMBDA(clave,
        COUNTIF('Asignaturas2026-2'!B:B, clave )&gt;0
      )
    )
  )
)))"),"#REF!")</f>
        <v>#REF!</v>
      </c>
      <c r="J121" s="11" t="s">
        <v>220</v>
      </c>
      <c r="K121" s="6" t="str">
        <f t="shared" si="3"/>
        <v>#REF!</v>
      </c>
      <c r="L121" s="6" t="str">
        <f t="shared" si="4"/>
        <v>#REF!</v>
      </c>
      <c r="M121" s="12">
        <v>1.0</v>
      </c>
      <c r="N121" s="6" t="e">
        <v>#N/A</v>
      </c>
      <c r="O121" s="6" t="e">
        <v>#N/A</v>
      </c>
      <c r="P121" s="6" t="e">
        <v>#N/A</v>
      </c>
      <c r="Q121" s="6" t="e">
        <v>#N/A</v>
      </c>
      <c r="R121" s="6" t="e">
        <v>#N/A</v>
      </c>
    </row>
    <row r="122" ht="22.5" customHeight="1">
      <c r="A122" s="7" t="s">
        <v>277</v>
      </c>
      <c r="B122" s="30" t="s">
        <v>82</v>
      </c>
      <c r="C122" s="31">
        <v>3.0</v>
      </c>
      <c r="D122" s="31"/>
      <c r="E122" s="31" t="s">
        <v>159</v>
      </c>
      <c r="F122" s="31">
        <v>5.0</v>
      </c>
      <c r="G122" s="9" t="s">
        <v>278</v>
      </c>
      <c r="H122" s="1" t="str">
        <f t="shared" si="2"/>
        <v>#REF!</v>
      </c>
      <c r="I122" s="10" t="str">
        <f>IFERROR(__xludf.DUMMYFUNCTION("if(or(L122=0),"""",IFERROR(TEXTJOIN("", "",
  TRUE,
  FILTER(
    TRIM(SPLIT(G122, "","")),
    MAP(
      TRIM(SPLIT(G122, "","")),
      LAMBDA(clave,
        COUNTIF('Asignaturas2026-2'!B:B, clave )&gt;0
      )
    )
  )
)))"),"#REF!")</f>
        <v>#REF!</v>
      </c>
      <c r="J122" s="11" t="s">
        <v>220</v>
      </c>
      <c r="K122" s="6" t="str">
        <f t="shared" si="3"/>
        <v>#REF!</v>
      </c>
      <c r="L122" s="6" t="str">
        <f t="shared" si="4"/>
        <v>#REF!</v>
      </c>
      <c r="M122" s="12">
        <v>1.0</v>
      </c>
      <c r="N122" s="6" t="e">
        <v>#N/A</v>
      </c>
      <c r="O122" s="6" t="e">
        <v>#N/A</v>
      </c>
      <c r="P122" s="6" t="e">
        <v>#N/A</v>
      </c>
      <c r="Q122" s="6" t="e">
        <v>#N/A</v>
      </c>
      <c r="R122" s="6" t="e">
        <v>#N/A</v>
      </c>
    </row>
    <row r="123" ht="22.5" customHeight="1">
      <c r="A123" s="7" t="s">
        <v>279</v>
      </c>
      <c r="B123" s="30" t="s">
        <v>67</v>
      </c>
      <c r="C123" s="31">
        <v>3.0</v>
      </c>
      <c r="D123" s="31"/>
      <c r="E123" s="31" t="s">
        <v>56</v>
      </c>
      <c r="F123" s="33">
        <v>5.0</v>
      </c>
      <c r="G123" s="9" t="s">
        <v>280</v>
      </c>
      <c r="H123" s="1" t="str">
        <f t="shared" si="2"/>
        <v>#REF!</v>
      </c>
      <c r="I123" s="10" t="str">
        <f>IFERROR(__xludf.DUMMYFUNCTION("if(or(L123=0),"""",IFERROR(TEXTJOIN("", "",
  TRUE,
  FILTER(
    TRIM(SPLIT(G123, "","")),
    MAP(
      TRIM(SPLIT(G123, "","")),
      LAMBDA(clave,
        COUNTIF('Asignaturas2026-2'!B:B, clave )&gt;0
      )
    )
  )
)))"),"#REF!")</f>
        <v>#REF!</v>
      </c>
      <c r="J123" s="11" t="s">
        <v>220</v>
      </c>
      <c r="K123" s="6" t="str">
        <f t="shared" si="3"/>
        <v>#REF!</v>
      </c>
      <c r="L123" s="6" t="str">
        <f t="shared" si="4"/>
        <v>#REF!</v>
      </c>
      <c r="M123" s="12">
        <v>1.0</v>
      </c>
      <c r="N123" s="6">
        <v>50.0</v>
      </c>
      <c r="O123" s="6">
        <v>4.0</v>
      </c>
      <c r="P123" s="6">
        <v>2.0</v>
      </c>
      <c r="Q123" s="6">
        <v>0.0</v>
      </c>
      <c r="R123" s="6">
        <v>0.0</v>
      </c>
    </row>
    <row r="124" ht="22.5" customHeight="1">
      <c r="A124" s="7" t="s">
        <v>281</v>
      </c>
      <c r="B124" s="30" t="s">
        <v>164</v>
      </c>
      <c r="C124" s="31">
        <v>4.0</v>
      </c>
      <c r="D124" s="31"/>
      <c r="E124" s="31" t="s">
        <v>159</v>
      </c>
      <c r="F124" s="31">
        <v>5.0</v>
      </c>
      <c r="G124" s="9" t="s">
        <v>282</v>
      </c>
      <c r="H124" s="1" t="str">
        <f t="shared" si="2"/>
        <v>#REF!</v>
      </c>
      <c r="I124" s="10" t="str">
        <f>IFERROR(__xludf.DUMMYFUNCTION("if(or(L124=0),"""",IFERROR(TEXTJOIN("", "",
  TRUE,
  FILTER(
    TRIM(SPLIT(G124, "","")),
    MAP(
      TRIM(SPLIT(G124, "","")),
      LAMBDA(clave,
        COUNTIF('Asignaturas2026-2'!B:B, clave )&gt;0
      )
    )
  )
)))"),"#REF!")</f>
        <v>#REF!</v>
      </c>
      <c r="J124" s="11" t="s">
        <v>220</v>
      </c>
      <c r="K124" s="6" t="str">
        <f t="shared" si="3"/>
        <v>#REF!</v>
      </c>
      <c r="L124" s="6" t="str">
        <f t="shared" si="4"/>
        <v>#REF!</v>
      </c>
      <c r="M124" s="12">
        <v>1.0</v>
      </c>
      <c r="N124" s="6" t="e">
        <v>#N/A</v>
      </c>
      <c r="O124" s="6" t="e">
        <v>#N/A</v>
      </c>
      <c r="P124" s="6" t="e">
        <v>#N/A</v>
      </c>
      <c r="Q124" s="6" t="e">
        <v>#N/A</v>
      </c>
      <c r="R124" s="6" t="e">
        <v>#N/A</v>
      </c>
    </row>
    <row r="125" ht="22.5" customHeight="1">
      <c r="A125" s="7" t="s">
        <v>283</v>
      </c>
      <c r="B125" s="30" t="s">
        <v>284</v>
      </c>
      <c r="C125" s="31">
        <v>3.0</v>
      </c>
      <c r="D125" s="31"/>
      <c r="E125" s="31" t="s">
        <v>59</v>
      </c>
      <c r="F125" s="31">
        <v>6.0</v>
      </c>
      <c r="G125" s="9" t="s">
        <v>285</v>
      </c>
      <c r="H125" s="1" t="str">
        <f t="shared" si="2"/>
        <v>#REF!</v>
      </c>
      <c r="I125" s="10" t="str">
        <f>IFERROR(__xludf.DUMMYFUNCTION("if(or(L125=0),"""",IFERROR(TEXTJOIN("", "",
  TRUE,
  FILTER(
    TRIM(SPLIT(G125, "","")),
    MAP(
      TRIM(SPLIT(G125, "","")),
      LAMBDA(clave,
        COUNTIF('Asignaturas2026-2'!B:B, clave )&gt;0
      )
    )
  )
)))"),"#REF!")</f>
        <v>#REF!</v>
      </c>
      <c r="J125" s="11" t="s">
        <v>220</v>
      </c>
      <c r="K125" s="6" t="str">
        <f t="shared" si="3"/>
        <v>#REF!</v>
      </c>
      <c r="L125" s="6" t="str">
        <f t="shared" si="4"/>
        <v>#REF!</v>
      </c>
      <c r="M125" s="12">
        <v>1.0</v>
      </c>
      <c r="N125" s="6" t="e">
        <v>#N/A</v>
      </c>
      <c r="O125" s="6" t="e">
        <v>#N/A</v>
      </c>
      <c r="P125" s="6" t="e">
        <v>#N/A</v>
      </c>
      <c r="Q125" s="6" t="e">
        <v>#N/A</v>
      </c>
      <c r="R125" s="6" t="e">
        <v>#N/A</v>
      </c>
    </row>
    <row r="126" ht="22.5" customHeight="1">
      <c r="A126" s="7" t="s">
        <v>286</v>
      </c>
      <c r="B126" s="30" t="s">
        <v>287</v>
      </c>
      <c r="C126" s="31">
        <v>3.0</v>
      </c>
      <c r="D126" s="31"/>
      <c r="E126" s="31" t="s">
        <v>288</v>
      </c>
      <c r="F126" s="31">
        <v>6.0</v>
      </c>
      <c r="G126" s="9" t="s">
        <v>289</v>
      </c>
      <c r="H126" s="1" t="str">
        <f t="shared" si="2"/>
        <v>#REF!</v>
      </c>
      <c r="I126" s="10" t="str">
        <f>IFERROR(__xludf.DUMMYFUNCTION("if(or(L126=0),"""",IFERROR(TEXTJOIN("", "",
  TRUE,
  FILTER(
    TRIM(SPLIT(G126, "","")),
    MAP(
      TRIM(SPLIT(G126, "","")),
      LAMBDA(clave,
        COUNTIF('Asignaturas2026-2'!B:B, clave )&gt;0
      )
    )
  )
)))"),"#REF!")</f>
        <v>#REF!</v>
      </c>
      <c r="J126" s="11" t="s">
        <v>220</v>
      </c>
      <c r="K126" s="6" t="str">
        <f t="shared" si="3"/>
        <v>#REF!</v>
      </c>
      <c r="L126" s="6" t="str">
        <f t="shared" si="4"/>
        <v>#REF!</v>
      </c>
      <c r="M126" s="12">
        <v>1.0</v>
      </c>
      <c r="N126" s="6" t="e">
        <v>#N/A</v>
      </c>
      <c r="O126" s="6" t="e">
        <v>#N/A</v>
      </c>
      <c r="P126" s="6" t="e">
        <v>#N/A</v>
      </c>
      <c r="Q126" s="6" t="e">
        <v>#N/A</v>
      </c>
      <c r="R126" s="6" t="e">
        <v>#N/A</v>
      </c>
    </row>
    <row r="127" ht="22.5" customHeight="1">
      <c r="A127" s="7" t="s">
        <v>290</v>
      </c>
      <c r="B127" s="30" t="s">
        <v>74</v>
      </c>
      <c r="C127" s="31">
        <v>3.0</v>
      </c>
      <c r="D127" s="31"/>
      <c r="E127" s="31" t="s">
        <v>291</v>
      </c>
      <c r="F127" s="33">
        <v>6.0</v>
      </c>
      <c r="G127" s="9"/>
      <c r="H127" s="1" t="str">
        <f t="shared" si="2"/>
        <v>#REF!</v>
      </c>
      <c r="I127" s="10" t="str">
        <f>IFERROR(__xludf.DUMMYFUNCTION("if(or(L127=0),"""",IFERROR(TEXTJOIN("", "",
  TRUE,
  FILTER(
    TRIM(SPLIT(G127, "","")),
    MAP(
      TRIM(SPLIT(G127, "","")),
      LAMBDA(clave,
        COUNTIF('Asignaturas2026-2'!B:B, clave )&gt;0
      )
    )
  )
)))"),"#REF!")</f>
        <v>#REF!</v>
      </c>
      <c r="J127" s="11" t="s">
        <v>220</v>
      </c>
      <c r="K127" s="6" t="str">
        <f t="shared" si="3"/>
        <v>#REF!</v>
      </c>
      <c r="L127" s="6" t="str">
        <f t="shared" si="4"/>
        <v>#REF!</v>
      </c>
      <c r="M127" s="12">
        <v>1.0</v>
      </c>
      <c r="N127" s="6">
        <v>50.0</v>
      </c>
      <c r="O127" s="6">
        <v>2.0</v>
      </c>
      <c r="P127" s="6">
        <v>2.0</v>
      </c>
      <c r="Q127" s="6">
        <v>2.0</v>
      </c>
      <c r="R127" s="6">
        <v>0.0</v>
      </c>
    </row>
    <row r="128" ht="22.5" customHeight="1">
      <c r="A128" s="7" t="s">
        <v>292</v>
      </c>
      <c r="B128" s="30" t="s">
        <v>87</v>
      </c>
      <c r="C128" s="31">
        <v>3.0</v>
      </c>
      <c r="D128" s="31"/>
      <c r="E128" s="31" t="s">
        <v>66</v>
      </c>
      <c r="F128" s="31">
        <v>6.0</v>
      </c>
      <c r="G128" s="9" t="s">
        <v>162</v>
      </c>
      <c r="H128" s="1" t="str">
        <f t="shared" si="2"/>
        <v>#REF!</v>
      </c>
      <c r="I128" s="10" t="str">
        <f>IFERROR(__xludf.DUMMYFUNCTION("if(or(L128=0),"""",IFERROR(TEXTJOIN("", "",
  TRUE,
  FILTER(
    TRIM(SPLIT(G128, "","")),
    MAP(
      TRIM(SPLIT(G128, "","")),
      LAMBDA(clave,
        COUNTIF('Asignaturas2026-2'!B:B, clave )&gt;0
      )
    )
  )
)))"),"#REF!")</f>
        <v>#REF!</v>
      </c>
      <c r="J128" s="11" t="s">
        <v>220</v>
      </c>
      <c r="K128" s="6" t="str">
        <f t="shared" si="3"/>
        <v>#REF!</v>
      </c>
      <c r="L128" s="6" t="str">
        <f t="shared" si="4"/>
        <v>#REF!</v>
      </c>
      <c r="M128" s="12">
        <v>1.0</v>
      </c>
      <c r="N128" s="6" t="e">
        <v>#N/A</v>
      </c>
      <c r="O128" s="6" t="e">
        <v>#N/A</v>
      </c>
      <c r="P128" s="6" t="e">
        <v>#N/A</v>
      </c>
      <c r="Q128" s="6" t="e">
        <v>#N/A</v>
      </c>
      <c r="R128" s="6" t="e">
        <v>#N/A</v>
      </c>
    </row>
    <row r="129" ht="22.5" customHeight="1">
      <c r="A129" s="7" t="s">
        <v>293</v>
      </c>
      <c r="B129" s="30" t="s">
        <v>294</v>
      </c>
      <c r="C129" s="31">
        <v>4.0</v>
      </c>
      <c r="D129" s="31"/>
      <c r="E129" s="31" t="s">
        <v>295</v>
      </c>
      <c r="F129" s="31">
        <v>6.0</v>
      </c>
      <c r="G129" s="9" t="s">
        <v>296</v>
      </c>
      <c r="H129" s="1" t="str">
        <f t="shared" si="2"/>
        <v>#REF!</v>
      </c>
      <c r="I129" s="10" t="str">
        <f>IFERROR(__xludf.DUMMYFUNCTION("if(or(L129=0),"""",IFERROR(TEXTJOIN("", "",
  TRUE,
  FILTER(
    TRIM(SPLIT(G129, "","")),
    MAP(
      TRIM(SPLIT(G129, "","")),
      LAMBDA(clave,
        COUNTIF('Asignaturas2026-2'!B:B, clave )&gt;0
      )
    )
  )
)))"),"#REF!")</f>
        <v>#REF!</v>
      </c>
      <c r="J129" s="11" t="s">
        <v>220</v>
      </c>
      <c r="K129" s="6" t="str">
        <f t="shared" si="3"/>
        <v>#REF!</v>
      </c>
      <c r="L129" s="6" t="str">
        <f t="shared" si="4"/>
        <v>#REF!</v>
      </c>
      <c r="M129" s="12">
        <v>1.0</v>
      </c>
      <c r="N129" s="6" t="e">
        <v>#N/A</v>
      </c>
      <c r="O129" s="6" t="e">
        <v>#N/A</v>
      </c>
      <c r="P129" s="6" t="e">
        <v>#N/A</v>
      </c>
      <c r="Q129" s="6" t="e">
        <v>#N/A</v>
      </c>
      <c r="R129" s="6" t="e">
        <v>#N/A</v>
      </c>
    </row>
    <row r="130" ht="22.5" customHeight="1">
      <c r="A130" s="7" t="s">
        <v>297</v>
      </c>
      <c r="B130" s="30" t="s">
        <v>298</v>
      </c>
      <c r="C130" s="31">
        <v>8.0</v>
      </c>
      <c r="D130" s="31"/>
      <c r="E130" s="32"/>
      <c r="F130" s="31">
        <v>6.0</v>
      </c>
      <c r="G130" s="9" t="s">
        <v>299</v>
      </c>
      <c r="H130" s="1" t="str">
        <f t="shared" si="2"/>
        <v>#REF!</v>
      </c>
      <c r="I130" s="10" t="str">
        <f>IFERROR(__xludf.DUMMYFUNCTION("if(or(L130=0),"""",IFERROR(TEXTJOIN("", "",
  TRUE,
  FILTER(
    TRIM(SPLIT(G130, "","")),
    MAP(
      TRIM(SPLIT(G130, "","")),
      LAMBDA(clave,
        COUNTIF('Asignaturas2026-2'!B:B, clave )&gt;0
      )
    )
  )
)))"),"#REF!")</f>
        <v>#REF!</v>
      </c>
      <c r="J130" s="11" t="s">
        <v>220</v>
      </c>
      <c r="K130" s="6" t="str">
        <f t="shared" si="3"/>
        <v>#REF!</v>
      </c>
      <c r="L130" s="6" t="str">
        <f t="shared" si="4"/>
        <v>#REF!</v>
      </c>
      <c r="M130" s="12">
        <v>1.0</v>
      </c>
      <c r="N130" s="6" t="e">
        <v>#N/A</v>
      </c>
      <c r="O130" s="6" t="e">
        <v>#N/A</v>
      </c>
      <c r="P130" s="6" t="e">
        <v>#N/A</v>
      </c>
      <c r="Q130" s="6" t="e">
        <v>#N/A</v>
      </c>
      <c r="R130" s="6" t="e">
        <v>#N/A</v>
      </c>
    </row>
    <row r="131" ht="22.5" customHeight="1">
      <c r="A131" s="7" t="s">
        <v>300</v>
      </c>
      <c r="B131" s="30" t="s">
        <v>58</v>
      </c>
      <c r="C131" s="31">
        <v>2.0</v>
      </c>
      <c r="D131" s="31"/>
      <c r="E131" s="31" t="s">
        <v>301</v>
      </c>
      <c r="F131" s="33">
        <v>7.0</v>
      </c>
      <c r="G131" s="9"/>
      <c r="H131" s="1" t="str">
        <f t="shared" si="2"/>
        <v>#REF!</v>
      </c>
      <c r="I131" s="10" t="str">
        <f>IFERROR(__xludf.DUMMYFUNCTION("if(or(L131=0),"""",IFERROR(TEXTJOIN("", "",
  TRUE,
  FILTER(
    TRIM(SPLIT(G131, "","")),
    MAP(
      TRIM(SPLIT(G131, "","")),
      LAMBDA(clave,
        COUNTIF('Asignaturas2026-2'!B:B, clave )&gt;0
      )
    )
  )
)))"),"#REF!")</f>
        <v>#REF!</v>
      </c>
      <c r="J131" s="11" t="s">
        <v>220</v>
      </c>
      <c r="K131" s="6" t="str">
        <f t="shared" si="3"/>
        <v>#REF!</v>
      </c>
      <c r="L131" s="6" t="str">
        <f t="shared" si="4"/>
        <v>#REF!</v>
      </c>
      <c r="M131" s="12">
        <v>1.0</v>
      </c>
      <c r="N131" s="6">
        <v>25.0</v>
      </c>
      <c r="O131" s="6">
        <v>4.0</v>
      </c>
      <c r="P131" s="6">
        <v>0.0</v>
      </c>
      <c r="Q131" s="6">
        <v>2.0</v>
      </c>
      <c r="R131" s="6">
        <v>0.0</v>
      </c>
    </row>
    <row r="132" ht="22.5" customHeight="1">
      <c r="A132" s="7" t="s">
        <v>302</v>
      </c>
      <c r="B132" s="30" t="s">
        <v>303</v>
      </c>
      <c r="C132" s="31">
        <v>3.0</v>
      </c>
      <c r="D132" s="31"/>
      <c r="E132" s="31" t="s">
        <v>101</v>
      </c>
      <c r="F132" s="31">
        <v>7.0</v>
      </c>
      <c r="G132" s="9" t="s">
        <v>304</v>
      </c>
      <c r="H132" s="1" t="str">
        <f t="shared" si="2"/>
        <v>#REF!</v>
      </c>
      <c r="I132" s="10" t="str">
        <f>IFERROR(__xludf.DUMMYFUNCTION("if(or(L132=0),"""",IFERROR(TEXTJOIN("", "",
  TRUE,
  FILTER(
    TRIM(SPLIT(G132, "","")),
    MAP(
      TRIM(SPLIT(G132, "","")),
      LAMBDA(clave,
        COUNTIF('Asignaturas2026-2'!B:B, clave )&gt;0
      )
    )
  )
)))"),"#REF!")</f>
        <v>#REF!</v>
      </c>
      <c r="J132" s="11" t="s">
        <v>220</v>
      </c>
      <c r="K132" s="6" t="str">
        <f t="shared" si="3"/>
        <v>#REF!</v>
      </c>
      <c r="L132" s="6" t="str">
        <f t="shared" si="4"/>
        <v>#REF!</v>
      </c>
      <c r="M132" s="12">
        <v>1.0</v>
      </c>
      <c r="N132" s="6" t="e">
        <v>#N/A</v>
      </c>
      <c r="O132" s="6" t="e">
        <v>#N/A</v>
      </c>
      <c r="P132" s="6" t="e">
        <v>#N/A</v>
      </c>
      <c r="Q132" s="6" t="e">
        <v>#N/A</v>
      </c>
      <c r="R132" s="6" t="e">
        <v>#N/A</v>
      </c>
    </row>
    <row r="133" ht="22.5" customHeight="1">
      <c r="A133" s="7" t="s">
        <v>305</v>
      </c>
      <c r="B133" s="30" t="s">
        <v>306</v>
      </c>
      <c r="C133" s="31">
        <v>3.0</v>
      </c>
      <c r="D133" s="31"/>
      <c r="E133" s="31" t="s">
        <v>307</v>
      </c>
      <c r="F133" s="31">
        <v>7.0</v>
      </c>
      <c r="G133" s="9" t="s">
        <v>308</v>
      </c>
      <c r="H133" s="1" t="str">
        <f t="shared" si="2"/>
        <v>#REF!</v>
      </c>
      <c r="I133" s="10" t="str">
        <f>IFERROR(__xludf.DUMMYFUNCTION("if(or(L133=0),"""",IFERROR(TEXTJOIN("", "",
  TRUE,
  FILTER(
    TRIM(SPLIT(G133, "","")),
    MAP(
      TRIM(SPLIT(G133, "","")),
      LAMBDA(clave,
        COUNTIF('Asignaturas2026-2'!B:B, clave )&gt;0
      )
    )
  )
)))"),"#REF!")</f>
        <v>#REF!</v>
      </c>
      <c r="J133" s="11" t="s">
        <v>220</v>
      </c>
      <c r="K133" s="6" t="str">
        <f t="shared" si="3"/>
        <v>#REF!</v>
      </c>
      <c r="L133" s="6" t="str">
        <f t="shared" si="4"/>
        <v>#REF!</v>
      </c>
      <c r="M133" s="12">
        <v>1.0</v>
      </c>
      <c r="N133" s="6" t="e">
        <v>#N/A</v>
      </c>
      <c r="O133" s="6" t="e">
        <v>#N/A</v>
      </c>
      <c r="P133" s="6" t="e">
        <v>#N/A</v>
      </c>
      <c r="Q133" s="6" t="e">
        <v>#N/A</v>
      </c>
      <c r="R133" s="6" t="e">
        <v>#N/A</v>
      </c>
    </row>
    <row r="134" ht="22.5" customHeight="1">
      <c r="A134" s="7" t="s">
        <v>309</v>
      </c>
      <c r="B134" s="30" t="s">
        <v>166</v>
      </c>
      <c r="C134" s="31">
        <v>3.0</v>
      </c>
      <c r="D134" s="31"/>
      <c r="E134" s="31" t="s">
        <v>307</v>
      </c>
      <c r="F134" s="31">
        <v>7.0</v>
      </c>
      <c r="G134" s="9" t="s">
        <v>310</v>
      </c>
      <c r="H134" s="1" t="str">
        <f t="shared" si="2"/>
        <v>#REF!</v>
      </c>
      <c r="I134" s="10" t="str">
        <f>IFERROR(__xludf.DUMMYFUNCTION("if(or(L134=0),"""",IFERROR(TEXTJOIN("", "",
  TRUE,
  FILTER(
    TRIM(SPLIT(G134, "","")),
    MAP(
      TRIM(SPLIT(G134, "","")),
      LAMBDA(clave,
        COUNTIF('Asignaturas2026-2'!B:B, clave )&gt;0
      )
    )
  )
)))"),"#REF!")</f>
        <v>#REF!</v>
      </c>
      <c r="J134" s="11" t="s">
        <v>220</v>
      </c>
      <c r="K134" s="6" t="str">
        <f t="shared" si="3"/>
        <v>#REF!</v>
      </c>
      <c r="L134" s="6" t="str">
        <f t="shared" si="4"/>
        <v>#REF!</v>
      </c>
      <c r="M134" s="12">
        <v>1.0</v>
      </c>
      <c r="N134" s="6" t="e">
        <v>#N/A</v>
      </c>
      <c r="O134" s="6" t="e">
        <v>#N/A</v>
      </c>
      <c r="P134" s="6" t="e">
        <v>#N/A</v>
      </c>
      <c r="Q134" s="6" t="e">
        <v>#N/A</v>
      </c>
      <c r="R134" s="6" t="e">
        <v>#N/A</v>
      </c>
    </row>
    <row r="135" ht="22.5" customHeight="1">
      <c r="A135" s="7" t="s">
        <v>311</v>
      </c>
      <c r="B135" s="30" t="s">
        <v>185</v>
      </c>
      <c r="C135" s="31">
        <v>4.0</v>
      </c>
      <c r="D135" s="31"/>
      <c r="E135" s="31" t="s">
        <v>312</v>
      </c>
      <c r="F135" s="31">
        <v>7.0</v>
      </c>
      <c r="G135" s="9" t="s">
        <v>313</v>
      </c>
      <c r="H135" s="1" t="str">
        <f t="shared" si="2"/>
        <v>#REF!</v>
      </c>
      <c r="I135" s="10" t="str">
        <f>IFERROR(__xludf.DUMMYFUNCTION("if(or(L135=0),"""",IFERROR(TEXTJOIN("", "",
  TRUE,
  FILTER(
    TRIM(SPLIT(G135, "","")),
    MAP(
      TRIM(SPLIT(G135, "","")),
      LAMBDA(clave,
        COUNTIF('Asignaturas2026-2'!B:B, clave )&gt;0
      )
    )
  )
)))"),"#REF!")</f>
        <v>#REF!</v>
      </c>
      <c r="J135" s="11" t="s">
        <v>220</v>
      </c>
      <c r="K135" s="6" t="str">
        <f t="shared" si="3"/>
        <v>#REF!</v>
      </c>
      <c r="L135" s="6" t="str">
        <f t="shared" si="4"/>
        <v>#REF!</v>
      </c>
      <c r="M135" s="12">
        <v>1.0</v>
      </c>
      <c r="N135" s="6" t="e">
        <v>#N/A</v>
      </c>
      <c r="O135" s="6" t="e">
        <v>#N/A</v>
      </c>
      <c r="P135" s="6" t="e">
        <v>#N/A</v>
      </c>
      <c r="Q135" s="6" t="e">
        <v>#N/A</v>
      </c>
      <c r="R135" s="6" t="e">
        <v>#N/A</v>
      </c>
    </row>
    <row r="136" ht="22.5" customHeight="1">
      <c r="A136" s="7" t="s">
        <v>314</v>
      </c>
      <c r="B136" s="30" t="s">
        <v>72</v>
      </c>
      <c r="C136" s="31">
        <v>2.0</v>
      </c>
      <c r="D136" s="31"/>
      <c r="E136" s="31" t="s">
        <v>57</v>
      </c>
      <c r="F136" s="33">
        <v>8.0</v>
      </c>
      <c r="G136" s="9"/>
      <c r="H136" s="1" t="str">
        <f t="shared" si="2"/>
        <v>#REF!</v>
      </c>
      <c r="I136" s="10" t="str">
        <f>IFERROR(__xludf.DUMMYFUNCTION("if(or(L136=0),"""",IFERROR(TEXTJOIN("", "",
  TRUE,
  FILTER(
    TRIM(SPLIT(G136, "","")),
    MAP(
      TRIM(SPLIT(G136, "","")),
      LAMBDA(clave,
        COUNTIF('Asignaturas2026-2'!B:B, clave )&gt;0
      )
    )
  )
)))"),"#REF!")</f>
        <v>#REF!</v>
      </c>
      <c r="J136" s="11" t="s">
        <v>220</v>
      </c>
      <c r="K136" s="6" t="str">
        <f t="shared" si="3"/>
        <v>#REF!</v>
      </c>
      <c r="L136" s="6" t="str">
        <f t="shared" si="4"/>
        <v>#REF!</v>
      </c>
      <c r="M136" s="12">
        <v>1.0</v>
      </c>
      <c r="N136" s="6">
        <v>25.0</v>
      </c>
      <c r="O136" s="6">
        <v>4.0</v>
      </c>
      <c r="P136" s="6">
        <v>0.0</v>
      </c>
      <c r="Q136" s="6">
        <v>2.0</v>
      </c>
      <c r="R136" s="6">
        <v>0.0</v>
      </c>
    </row>
    <row r="137" ht="22.5" customHeight="1">
      <c r="A137" s="7" t="s">
        <v>315</v>
      </c>
      <c r="B137" s="30" t="s">
        <v>316</v>
      </c>
      <c r="C137" s="31">
        <v>3.0</v>
      </c>
      <c r="D137" s="31"/>
      <c r="E137" s="31" t="s">
        <v>317</v>
      </c>
      <c r="F137" s="31">
        <v>8.0</v>
      </c>
      <c r="G137" s="9" t="s">
        <v>318</v>
      </c>
      <c r="H137" s="1" t="str">
        <f t="shared" si="2"/>
        <v>#REF!</v>
      </c>
      <c r="I137" s="10" t="str">
        <f>IFERROR(__xludf.DUMMYFUNCTION("if(or(L137=0),"""",IFERROR(TEXTJOIN("", "",
  TRUE,
  FILTER(
    TRIM(SPLIT(G137, "","")),
    MAP(
      TRIM(SPLIT(G137, "","")),
      LAMBDA(clave,
        COUNTIF('Asignaturas2026-2'!B:B, clave )&gt;0
      )
    )
  )
)))"),"#REF!")</f>
        <v>#REF!</v>
      </c>
      <c r="J137" s="11" t="s">
        <v>220</v>
      </c>
      <c r="K137" s="6" t="str">
        <f t="shared" si="3"/>
        <v>#REF!</v>
      </c>
      <c r="L137" s="6" t="str">
        <f t="shared" si="4"/>
        <v>#REF!</v>
      </c>
      <c r="M137" s="12">
        <v>1.0</v>
      </c>
      <c r="N137" s="6" t="e">
        <v>#N/A</v>
      </c>
      <c r="O137" s="6">
        <v>4.0</v>
      </c>
      <c r="P137" s="6">
        <v>2.0</v>
      </c>
      <c r="Q137" s="6">
        <v>0.0</v>
      </c>
      <c r="R137" s="6">
        <v>0.0</v>
      </c>
    </row>
    <row r="138" ht="22.5" customHeight="1">
      <c r="A138" s="7" t="s">
        <v>319</v>
      </c>
      <c r="B138" s="30" t="s">
        <v>320</v>
      </c>
      <c r="C138" s="31">
        <v>3.0</v>
      </c>
      <c r="D138" s="31"/>
      <c r="E138" s="32"/>
      <c r="F138" s="31">
        <v>8.0</v>
      </c>
      <c r="G138" s="9" t="s">
        <v>321</v>
      </c>
      <c r="H138" s="1" t="str">
        <f t="shared" si="2"/>
        <v>#REF!</v>
      </c>
      <c r="I138" s="10" t="str">
        <f>IFERROR(__xludf.DUMMYFUNCTION("if(or(L138=0),"""",IFERROR(TEXTJOIN("", "",
  TRUE,
  FILTER(
    TRIM(SPLIT(G138, "","")),
    MAP(
      TRIM(SPLIT(G138, "","")),
      LAMBDA(clave,
        COUNTIF('Asignaturas2026-2'!B:B, clave )&gt;0
      )
    )
  )
)))"),"#REF!")</f>
        <v>#REF!</v>
      </c>
      <c r="J138" s="11" t="s">
        <v>220</v>
      </c>
      <c r="K138" s="6" t="str">
        <f t="shared" si="3"/>
        <v>#REF!</v>
      </c>
      <c r="L138" s="6" t="str">
        <f t="shared" si="4"/>
        <v>#REF!</v>
      </c>
      <c r="M138" s="12">
        <v>1.0</v>
      </c>
      <c r="N138" s="6" t="e">
        <v>#N/A</v>
      </c>
      <c r="O138" s="6" t="e">
        <v>#N/A</v>
      </c>
      <c r="P138" s="6" t="e">
        <v>#N/A</v>
      </c>
      <c r="Q138" s="6" t="e">
        <v>#N/A</v>
      </c>
      <c r="R138" s="6" t="e">
        <v>#N/A</v>
      </c>
    </row>
    <row r="139" ht="22.5" customHeight="1">
      <c r="A139" s="7" t="s">
        <v>322</v>
      </c>
      <c r="B139" s="30" t="s">
        <v>194</v>
      </c>
      <c r="C139" s="31">
        <v>3.0</v>
      </c>
      <c r="D139" s="31"/>
      <c r="E139" s="31" t="s">
        <v>323</v>
      </c>
      <c r="F139" s="31">
        <v>8.0</v>
      </c>
      <c r="G139" s="9" t="s">
        <v>324</v>
      </c>
      <c r="H139" s="1" t="str">
        <f t="shared" si="2"/>
        <v>#REF!</v>
      </c>
      <c r="I139" s="10" t="str">
        <f>IFERROR(__xludf.DUMMYFUNCTION("if(or(L139=0),"""",IFERROR(TEXTJOIN("", "",
  TRUE,
  FILTER(
    TRIM(SPLIT(G139, "","")),
    MAP(
      TRIM(SPLIT(G139, "","")),
      LAMBDA(clave,
        COUNTIF('Asignaturas2026-2'!B:B, clave )&gt;0
      )
    )
  )
)))"),"#REF!")</f>
        <v>#REF!</v>
      </c>
      <c r="J139" s="11" t="s">
        <v>220</v>
      </c>
      <c r="K139" s="6" t="str">
        <f t="shared" si="3"/>
        <v>#REF!</v>
      </c>
      <c r="L139" s="6" t="str">
        <f t="shared" si="4"/>
        <v>#REF!</v>
      </c>
      <c r="M139" s="12">
        <v>1.0</v>
      </c>
      <c r="N139" s="6" t="e">
        <v>#N/A</v>
      </c>
      <c r="O139" s="6">
        <v>4.0</v>
      </c>
      <c r="P139" s="6">
        <v>2.0</v>
      </c>
      <c r="Q139" s="6">
        <v>0.0</v>
      </c>
      <c r="R139" s="6">
        <v>0.0</v>
      </c>
    </row>
    <row r="140" ht="22.5" customHeight="1">
      <c r="A140" s="7" t="s">
        <v>325</v>
      </c>
      <c r="B140" s="30" t="s">
        <v>119</v>
      </c>
      <c r="C140" s="31">
        <v>3.0</v>
      </c>
      <c r="D140" s="31"/>
      <c r="E140" s="31" t="s">
        <v>326</v>
      </c>
      <c r="F140" s="31">
        <v>8.0</v>
      </c>
      <c r="G140" s="9" t="s">
        <v>327</v>
      </c>
      <c r="H140" s="1" t="str">
        <f t="shared" si="2"/>
        <v>#REF!</v>
      </c>
      <c r="I140" s="10" t="str">
        <f>IFERROR(__xludf.DUMMYFUNCTION("if(or(L140=0),"""",IFERROR(TEXTJOIN("", "",
  TRUE,
  FILTER(
    TRIM(SPLIT(G140, "","")),
    MAP(
      TRIM(SPLIT(G140, "","")),
      LAMBDA(clave,
        COUNTIF('Asignaturas2026-2'!B:B, clave )&gt;0
      )
    )
  )
)))"),"#REF!")</f>
        <v>#REF!</v>
      </c>
      <c r="J140" s="11" t="s">
        <v>220</v>
      </c>
      <c r="K140" s="6" t="str">
        <f t="shared" si="3"/>
        <v>#REF!</v>
      </c>
      <c r="L140" s="6" t="str">
        <f t="shared" si="4"/>
        <v>#REF!</v>
      </c>
      <c r="M140" s="12">
        <v>1.0</v>
      </c>
      <c r="N140" s="6" t="e">
        <v>#N/A</v>
      </c>
      <c r="O140" s="6" t="e">
        <v>#N/A</v>
      </c>
      <c r="P140" s="6" t="e">
        <v>#N/A</v>
      </c>
      <c r="Q140" s="6" t="e">
        <v>#N/A</v>
      </c>
      <c r="R140" s="6" t="e">
        <v>#N/A</v>
      </c>
    </row>
    <row r="141" ht="22.5" customHeight="1">
      <c r="A141" s="7" t="s">
        <v>328</v>
      </c>
      <c r="B141" s="30" t="s">
        <v>208</v>
      </c>
      <c r="C141" s="31">
        <v>4.0</v>
      </c>
      <c r="D141" s="31"/>
      <c r="E141" s="31" t="s">
        <v>323</v>
      </c>
      <c r="F141" s="33">
        <v>8.0</v>
      </c>
      <c r="G141" s="9" t="s">
        <v>329</v>
      </c>
      <c r="H141" s="1" t="str">
        <f t="shared" si="2"/>
        <v>#REF!</v>
      </c>
      <c r="I141" s="10" t="str">
        <f>IFERROR(__xludf.DUMMYFUNCTION("if(or(L141=0),"""",IFERROR(TEXTJOIN("", "",
  TRUE,
  FILTER(
    TRIM(SPLIT(G141, "","")),
    MAP(
      TRIM(SPLIT(G141, "","")),
      LAMBDA(clave,
        COUNTIF('Asignaturas2026-2'!B:B, clave )&gt;0
      )
    )
  )
)))"),"#REF!")</f>
        <v>#REF!</v>
      </c>
      <c r="J141" s="11" t="s">
        <v>220</v>
      </c>
      <c r="K141" s="6" t="str">
        <f t="shared" si="3"/>
        <v>#REF!</v>
      </c>
      <c r="L141" s="6" t="str">
        <f t="shared" si="4"/>
        <v>#REF!</v>
      </c>
      <c r="M141" s="12">
        <v>1.0</v>
      </c>
      <c r="N141" s="6" t="e">
        <v>#N/A</v>
      </c>
      <c r="O141" s="6" t="e">
        <v>#N/A</v>
      </c>
      <c r="P141" s="6" t="e">
        <v>#N/A</v>
      </c>
      <c r="Q141" s="6" t="e">
        <v>#N/A</v>
      </c>
      <c r="R141" s="6" t="e">
        <v>#N/A</v>
      </c>
    </row>
    <row r="142" ht="22.5" customHeight="1">
      <c r="A142" s="7" t="s">
        <v>330</v>
      </c>
      <c r="B142" s="30" t="s">
        <v>85</v>
      </c>
      <c r="C142" s="31">
        <v>2.0</v>
      </c>
      <c r="D142" s="31"/>
      <c r="E142" s="31" t="s">
        <v>71</v>
      </c>
      <c r="F142" s="33">
        <v>9.0</v>
      </c>
      <c r="G142" s="9"/>
      <c r="H142" s="1" t="str">
        <f t="shared" si="2"/>
        <v>#REF!</v>
      </c>
      <c r="I142" s="10" t="str">
        <f>IFERROR(__xludf.DUMMYFUNCTION("if(or(L142=0),"""",IFERROR(TEXTJOIN("", "",
  TRUE,
  FILTER(
    TRIM(SPLIT(G142, "","")),
    MAP(
      TRIM(SPLIT(G142, "","")),
      LAMBDA(clave,
        COUNTIF('Asignaturas2026-2'!B:B, clave )&gt;0
      )
    )
  )
)))"),"#REF!")</f>
        <v>#REF!</v>
      </c>
      <c r="J142" s="11" t="s">
        <v>220</v>
      </c>
      <c r="K142" s="6" t="str">
        <f t="shared" si="3"/>
        <v>#REF!</v>
      </c>
      <c r="L142" s="6" t="str">
        <f t="shared" si="4"/>
        <v>#REF!</v>
      </c>
      <c r="M142" s="12">
        <v>1.0</v>
      </c>
      <c r="N142" s="6">
        <v>25.0</v>
      </c>
      <c r="O142" s="6">
        <v>4.0</v>
      </c>
      <c r="P142" s="6">
        <v>0.0</v>
      </c>
      <c r="Q142" s="6">
        <v>2.0</v>
      </c>
      <c r="R142" s="6">
        <v>0.0</v>
      </c>
    </row>
    <row r="143" ht="22.5" customHeight="1">
      <c r="A143" s="7" t="s">
        <v>331</v>
      </c>
      <c r="B143" s="30" t="s">
        <v>92</v>
      </c>
      <c r="C143" s="31">
        <v>3.0</v>
      </c>
      <c r="D143" s="31"/>
      <c r="E143" s="31" t="s">
        <v>332</v>
      </c>
      <c r="F143" s="31">
        <v>9.0</v>
      </c>
      <c r="G143" s="9" t="s">
        <v>333</v>
      </c>
      <c r="H143" s="1" t="str">
        <f t="shared" si="2"/>
        <v>#REF!</v>
      </c>
      <c r="I143" s="10" t="str">
        <f>IFERROR(__xludf.DUMMYFUNCTION("if(or(L143=0),"""",IFERROR(TEXTJOIN("", "",
  TRUE,
  FILTER(
    TRIM(SPLIT(G143, "","")),
    MAP(
      TRIM(SPLIT(G143, "","")),
      LAMBDA(clave,
        COUNTIF('Asignaturas2026-2'!B:B, clave )&gt;0
      )
    )
  )
)))"),"#REF!")</f>
        <v>#REF!</v>
      </c>
      <c r="J143" s="11" t="s">
        <v>220</v>
      </c>
      <c r="K143" s="6" t="str">
        <f t="shared" si="3"/>
        <v>#REF!</v>
      </c>
      <c r="L143" s="6" t="str">
        <f t="shared" si="4"/>
        <v>#REF!</v>
      </c>
      <c r="M143" s="12">
        <v>0.81</v>
      </c>
      <c r="N143" s="6" t="e">
        <v>#N/A</v>
      </c>
      <c r="O143" s="6">
        <v>4.0</v>
      </c>
      <c r="P143" s="6">
        <v>0.0</v>
      </c>
      <c r="Q143" s="6">
        <v>0.0</v>
      </c>
      <c r="R143" s="6">
        <v>2.0</v>
      </c>
    </row>
    <row r="144" ht="22.5" customHeight="1">
      <c r="A144" s="7" t="s">
        <v>334</v>
      </c>
      <c r="B144" s="30" t="s">
        <v>335</v>
      </c>
      <c r="C144" s="31">
        <v>3.0</v>
      </c>
      <c r="D144" s="31"/>
      <c r="E144" s="32"/>
      <c r="F144" s="31">
        <v>9.0</v>
      </c>
      <c r="G144" s="9" t="s">
        <v>336</v>
      </c>
      <c r="H144" s="1" t="str">
        <f t="shared" si="2"/>
        <v>#REF!</v>
      </c>
      <c r="I144" s="10" t="str">
        <f>IFERROR(__xludf.DUMMYFUNCTION("if(or(L144=0),"""",IFERROR(TEXTJOIN("", "",
  TRUE,
  FILTER(
    TRIM(SPLIT(G144, "","")),
    MAP(
      TRIM(SPLIT(G144, "","")),
      LAMBDA(clave,
        COUNTIF('Asignaturas2026-2'!B:B, clave )&gt;0
      )
    )
  )
)))"),"#REF!")</f>
        <v>#REF!</v>
      </c>
      <c r="J144" s="11" t="s">
        <v>220</v>
      </c>
      <c r="K144" s="6" t="str">
        <f t="shared" si="3"/>
        <v>#REF!</v>
      </c>
      <c r="L144" s="6" t="str">
        <f t="shared" si="4"/>
        <v>#REF!</v>
      </c>
      <c r="M144" s="12">
        <v>1.0</v>
      </c>
      <c r="N144" s="6">
        <v>50.0</v>
      </c>
      <c r="O144" s="6">
        <v>4.0</v>
      </c>
      <c r="P144" s="6">
        <v>2.0</v>
      </c>
      <c r="Q144" s="6">
        <v>0.0</v>
      </c>
      <c r="R144" s="6">
        <v>0.0</v>
      </c>
    </row>
    <row r="145" ht="22.5" customHeight="1">
      <c r="A145" s="7" t="s">
        <v>337</v>
      </c>
      <c r="B145" s="30" t="s">
        <v>198</v>
      </c>
      <c r="C145" s="31">
        <v>3.0</v>
      </c>
      <c r="D145" s="31"/>
      <c r="E145" s="31" t="s">
        <v>338</v>
      </c>
      <c r="F145" s="33">
        <v>9.0</v>
      </c>
      <c r="G145" s="9" t="s">
        <v>339</v>
      </c>
      <c r="H145" s="1" t="str">
        <f t="shared" si="2"/>
        <v>#REF!</v>
      </c>
      <c r="I145" s="10" t="str">
        <f>IFERROR(__xludf.DUMMYFUNCTION("if(or(L145=0),"""",IFERROR(TEXTJOIN("", "",
  TRUE,
  FILTER(
    TRIM(SPLIT(G145, "","")),
    MAP(
      TRIM(SPLIT(G145, "","")),
      LAMBDA(clave,
        COUNTIF('Asignaturas2026-2'!B:B, clave )&gt;0
      )
    )
  )
)))"),"#REF!")</f>
        <v>#REF!</v>
      </c>
      <c r="J145" s="11" t="s">
        <v>220</v>
      </c>
      <c r="K145" s="6" t="str">
        <f t="shared" si="3"/>
        <v>#REF!</v>
      </c>
      <c r="L145" s="6" t="str">
        <f t="shared" si="4"/>
        <v>#REF!</v>
      </c>
      <c r="M145" s="12">
        <v>0.93</v>
      </c>
      <c r="N145" s="6">
        <v>50.0</v>
      </c>
      <c r="O145" s="6">
        <v>4.0</v>
      </c>
      <c r="P145" s="6">
        <v>2.0</v>
      </c>
      <c r="Q145" s="6">
        <v>0.0</v>
      </c>
      <c r="R145" s="6">
        <v>0.0</v>
      </c>
    </row>
    <row r="146" ht="22.5" customHeight="1">
      <c r="A146" s="7" t="s">
        <v>340</v>
      </c>
      <c r="B146" s="30" t="s">
        <v>341</v>
      </c>
      <c r="C146" s="31">
        <v>3.0</v>
      </c>
      <c r="D146" s="31"/>
      <c r="E146" s="31" t="s">
        <v>342</v>
      </c>
      <c r="F146" s="31">
        <v>9.0</v>
      </c>
      <c r="G146" s="9" t="s">
        <v>343</v>
      </c>
      <c r="H146" s="1" t="str">
        <f t="shared" si="2"/>
        <v>#REF!</v>
      </c>
      <c r="I146" s="10" t="str">
        <f>IFERROR(__xludf.DUMMYFUNCTION("if(or(L146=0),"""",IFERROR(TEXTJOIN("", "",
  TRUE,
  FILTER(
    TRIM(SPLIT(G146, "","")),
    MAP(
      TRIM(SPLIT(G146, "","")),
      LAMBDA(clave,
        COUNTIF('Asignaturas2026-2'!B:B, clave )&gt;0
      )
    )
  )
)))"),"#REF!")</f>
        <v>#REF!</v>
      </c>
      <c r="J146" s="11" t="s">
        <v>220</v>
      </c>
      <c r="K146" s="6" t="str">
        <f t="shared" si="3"/>
        <v>#REF!</v>
      </c>
      <c r="L146" s="6" t="str">
        <f t="shared" si="4"/>
        <v>#REF!</v>
      </c>
      <c r="M146" s="12">
        <v>0.91</v>
      </c>
      <c r="N146" s="6">
        <v>50.0</v>
      </c>
      <c r="O146" s="6">
        <v>4.0</v>
      </c>
      <c r="P146" s="6">
        <v>2.0</v>
      </c>
      <c r="Q146" s="6">
        <v>0.0</v>
      </c>
      <c r="R146" s="6">
        <v>0.0</v>
      </c>
    </row>
    <row r="147" ht="22.5" customHeight="1">
      <c r="A147" s="7" t="s">
        <v>344</v>
      </c>
      <c r="B147" s="30" t="s">
        <v>100</v>
      </c>
      <c r="C147" s="31">
        <v>2.0</v>
      </c>
      <c r="D147" s="31"/>
      <c r="E147" s="31" t="s">
        <v>84</v>
      </c>
      <c r="F147" s="33">
        <v>10.0</v>
      </c>
      <c r="G147" s="9"/>
      <c r="H147" s="1" t="str">
        <f t="shared" si="2"/>
        <v>#REF!</v>
      </c>
      <c r="I147" s="10" t="str">
        <f>IFERROR(__xludf.DUMMYFUNCTION("if(or(L147=0),"""",IFERROR(TEXTJOIN("", "",
  TRUE,
  FILTER(
    TRIM(SPLIT(G147, "","")),
    MAP(
      TRIM(SPLIT(G147, "","")),
      LAMBDA(clave,
        COUNTIF('Asignaturas2026-2'!B:B, clave )&gt;0
      )
    )
  )
)))"),"#REF!")</f>
        <v>#REF!</v>
      </c>
      <c r="J147" s="11" t="s">
        <v>220</v>
      </c>
      <c r="K147" s="6" t="str">
        <f t="shared" si="3"/>
        <v>#REF!</v>
      </c>
      <c r="L147" s="6" t="str">
        <f t="shared" si="4"/>
        <v>#REF!</v>
      </c>
      <c r="M147" s="12">
        <v>1.0</v>
      </c>
      <c r="N147" s="6">
        <v>25.0</v>
      </c>
      <c r="O147" s="6">
        <v>4.0</v>
      </c>
      <c r="P147" s="6">
        <v>0.0</v>
      </c>
      <c r="Q147" s="6">
        <v>2.0</v>
      </c>
      <c r="R147" s="6">
        <v>0.0</v>
      </c>
    </row>
    <row r="148" ht="22.5" customHeight="1">
      <c r="A148" s="7" t="s">
        <v>345</v>
      </c>
      <c r="B148" s="30" t="s">
        <v>346</v>
      </c>
      <c r="C148" s="31">
        <v>3.0</v>
      </c>
      <c r="D148" s="31"/>
      <c r="E148" s="32"/>
      <c r="F148" s="31">
        <v>10.0</v>
      </c>
      <c r="G148" s="9" t="s">
        <v>113</v>
      </c>
      <c r="H148" s="1" t="str">
        <f t="shared" si="2"/>
        <v>#REF!</v>
      </c>
      <c r="I148" s="10" t="str">
        <f>IFERROR(__xludf.DUMMYFUNCTION("if(or(L148=0),"""",IFERROR(TEXTJOIN("", "",
  TRUE,
  FILTER(
    TRIM(SPLIT(G148, "","")),
    MAP(
      TRIM(SPLIT(G148, "","")),
      LAMBDA(clave,
        COUNTIF('Asignaturas2026-2'!B:B, clave )&gt;0
      )
    )
  )
)))"),"#REF!")</f>
        <v>#REF!</v>
      </c>
      <c r="J148" s="11" t="s">
        <v>220</v>
      </c>
      <c r="K148" s="6" t="str">
        <f t="shared" si="3"/>
        <v>#REF!</v>
      </c>
      <c r="L148" s="6" t="str">
        <f t="shared" si="4"/>
        <v>#REF!</v>
      </c>
      <c r="M148" s="12">
        <v>1.0</v>
      </c>
      <c r="N148" s="6">
        <v>50.0</v>
      </c>
      <c r="O148" s="6">
        <v>4.0</v>
      </c>
      <c r="P148" s="6">
        <v>2.0</v>
      </c>
      <c r="Q148" s="6">
        <v>0.0</v>
      </c>
      <c r="R148" s="6">
        <v>0.0</v>
      </c>
    </row>
    <row r="149" ht="22.5" customHeight="1">
      <c r="A149" s="7" t="s">
        <v>347</v>
      </c>
      <c r="B149" s="30" t="s">
        <v>348</v>
      </c>
      <c r="C149" s="31">
        <v>3.0</v>
      </c>
      <c r="D149" s="31"/>
      <c r="E149" s="31" t="s">
        <v>349</v>
      </c>
      <c r="F149" s="31">
        <v>10.0</v>
      </c>
      <c r="G149" s="9" t="s">
        <v>350</v>
      </c>
      <c r="H149" s="1" t="str">
        <f t="shared" si="2"/>
        <v>#REF!</v>
      </c>
      <c r="I149" s="10" t="str">
        <f>IFERROR(__xludf.DUMMYFUNCTION("if(or(L149=0),"""",IFERROR(TEXTJOIN("", "",
  TRUE,
  FILTER(
    TRIM(SPLIT(G149, "","")),
    MAP(
      TRIM(SPLIT(G149, "","")),
      LAMBDA(clave,
        COUNTIF('Asignaturas2026-2'!B:B, clave )&gt;0
      )
    )
  )
)))"),"#REF!")</f>
        <v>#REF!</v>
      </c>
      <c r="J149" s="11" t="s">
        <v>220</v>
      </c>
      <c r="K149" s="6" t="str">
        <f t="shared" si="3"/>
        <v>#REF!</v>
      </c>
      <c r="L149" s="6" t="str">
        <f t="shared" si="4"/>
        <v>#REF!</v>
      </c>
      <c r="M149" s="12">
        <v>1.0</v>
      </c>
      <c r="N149" s="6" t="e">
        <v>#N/A</v>
      </c>
      <c r="O149" s="6">
        <v>4.0</v>
      </c>
      <c r="P149" s="6">
        <v>2.0</v>
      </c>
      <c r="Q149" s="6">
        <v>0.0</v>
      </c>
      <c r="R149" s="6">
        <v>0.0</v>
      </c>
    </row>
    <row r="150" ht="22.5" customHeight="1">
      <c r="A150" s="7" t="s">
        <v>351</v>
      </c>
      <c r="B150" s="30" t="s">
        <v>213</v>
      </c>
      <c r="C150" s="31">
        <v>3.0</v>
      </c>
      <c r="D150" s="31"/>
      <c r="E150" s="31" t="s">
        <v>352</v>
      </c>
      <c r="F150" s="33">
        <v>10.0</v>
      </c>
      <c r="G150" s="9" t="s">
        <v>212</v>
      </c>
      <c r="H150" s="1" t="str">
        <f t="shared" si="2"/>
        <v>#REF!</v>
      </c>
      <c r="I150" s="10" t="str">
        <f>IFERROR(__xludf.DUMMYFUNCTION("if(or(L150=0),"""",IFERROR(TEXTJOIN("", "",
  TRUE,
  FILTER(
    TRIM(SPLIT(G150, "","")),
    MAP(
      TRIM(SPLIT(G150, "","")),
      LAMBDA(clave,
        COUNTIF('Asignaturas2026-2'!B:B, clave )&gt;0
      )
    )
  )
)))"),"#REF!")</f>
        <v>#REF!</v>
      </c>
      <c r="J150" s="11" t="s">
        <v>220</v>
      </c>
      <c r="K150" s="6" t="str">
        <f t="shared" si="3"/>
        <v>#REF!</v>
      </c>
      <c r="L150" s="6" t="str">
        <f t="shared" si="4"/>
        <v>#REF!</v>
      </c>
      <c r="M150" s="12">
        <v>1.0</v>
      </c>
      <c r="N150" s="6">
        <v>50.0</v>
      </c>
      <c r="O150" s="6">
        <v>4.0</v>
      </c>
      <c r="P150" s="6">
        <v>2.0</v>
      </c>
      <c r="Q150" s="6">
        <v>0.0</v>
      </c>
      <c r="R150" s="6">
        <v>0.0</v>
      </c>
    </row>
    <row r="151" ht="22.5" customHeight="1">
      <c r="A151" s="7" t="s">
        <v>353</v>
      </c>
      <c r="B151" s="30" t="s">
        <v>354</v>
      </c>
      <c r="C151" s="31">
        <v>3.0</v>
      </c>
      <c r="D151" s="31"/>
      <c r="E151" s="31" t="s">
        <v>352</v>
      </c>
      <c r="F151" s="31">
        <v>10.0</v>
      </c>
      <c r="G151" s="9"/>
      <c r="H151" s="1" t="str">
        <f t="shared" si="2"/>
        <v>#REF!</v>
      </c>
      <c r="I151" s="10" t="str">
        <f>IFERROR(__xludf.DUMMYFUNCTION("if(or(L151=0),"""",IFERROR(TEXTJOIN("", "",
  TRUE,
  FILTER(
    TRIM(SPLIT(G151, "","")),
    MAP(
      TRIM(SPLIT(G151, "","")),
      LAMBDA(clave,
        COUNTIF('Asignaturas2026-2'!B:B, clave )&gt;0
      )
    )
  )
)))"),"#REF!")</f>
        <v>#REF!</v>
      </c>
      <c r="J151" s="11" t="s">
        <v>220</v>
      </c>
      <c r="K151" s="6" t="str">
        <f t="shared" si="3"/>
        <v>#REF!</v>
      </c>
      <c r="L151" s="6" t="str">
        <f t="shared" si="4"/>
        <v>#REF!</v>
      </c>
      <c r="M151" s="12">
        <v>1.0</v>
      </c>
      <c r="N151" s="6">
        <v>50.0</v>
      </c>
      <c r="O151" s="6">
        <v>4.0</v>
      </c>
      <c r="P151" s="6">
        <v>2.0</v>
      </c>
      <c r="Q151" s="6">
        <v>0.0</v>
      </c>
      <c r="R151" s="6">
        <v>0.0</v>
      </c>
    </row>
    <row r="152" ht="22.5" customHeight="1">
      <c r="A152" s="7" t="s">
        <v>355</v>
      </c>
      <c r="B152" s="30" t="s">
        <v>356</v>
      </c>
      <c r="C152" s="31">
        <v>8.0</v>
      </c>
      <c r="D152" s="31"/>
      <c r="E152" s="31" t="s">
        <v>357</v>
      </c>
      <c r="F152" s="31">
        <v>10.0</v>
      </c>
      <c r="G152" s="9"/>
      <c r="H152" s="1" t="str">
        <f t="shared" si="2"/>
        <v>#REF!</v>
      </c>
      <c r="I152" s="10" t="str">
        <f>IFERROR(__xludf.DUMMYFUNCTION("if(or(L152=0),"""",IFERROR(TEXTJOIN("", "",
  TRUE,
  FILTER(
    TRIM(SPLIT(G152, "","")),
    MAP(
      TRIM(SPLIT(G152, "","")),
      LAMBDA(clave,
        COUNTIF('Asignaturas2026-2'!B:B, clave )&gt;0
      )
    )
  )
)))"),"#REF!")</f>
        <v>#REF!</v>
      </c>
      <c r="J152" s="11" t="s">
        <v>220</v>
      </c>
      <c r="K152" s="6" t="str">
        <f t="shared" si="3"/>
        <v>#REF!</v>
      </c>
      <c r="L152" s="6" t="str">
        <f t="shared" si="4"/>
        <v>#REF!</v>
      </c>
      <c r="M152" s="12">
        <v>1.0</v>
      </c>
      <c r="N152" s="6" t="e">
        <v>#N/A</v>
      </c>
      <c r="O152" s="6">
        <v>0.0</v>
      </c>
      <c r="P152" s="6">
        <v>0.0</v>
      </c>
      <c r="Q152" s="6">
        <v>0.0</v>
      </c>
      <c r="R152" s="6">
        <v>0.0</v>
      </c>
    </row>
    <row r="153" ht="22.5" customHeight="1">
      <c r="A153" s="7" t="s">
        <v>358</v>
      </c>
      <c r="B153" s="30" t="s">
        <v>359</v>
      </c>
      <c r="C153" s="31">
        <v>3.0</v>
      </c>
      <c r="D153" s="31"/>
      <c r="E153" s="31" t="s">
        <v>214</v>
      </c>
      <c r="F153" s="31">
        <v>11.0</v>
      </c>
      <c r="G153" s="9" t="s">
        <v>360</v>
      </c>
      <c r="H153" s="1" t="str">
        <f t="shared" si="2"/>
        <v>#REF!</v>
      </c>
      <c r="I153" s="10" t="str">
        <f>IFERROR(__xludf.DUMMYFUNCTION("if(or(L153=0),"""",IFERROR(TEXTJOIN("", "",
  TRUE,
  FILTER(
    TRIM(SPLIT(G153, "","")),
    MAP(
      TRIM(SPLIT(G153, "","")),
      LAMBDA(clave,
        COUNTIF('Asignaturas2026-2'!B:B, clave )&gt;0
      )
    )
  )
)))"),"#REF!")</f>
        <v>#REF!</v>
      </c>
      <c r="J153" s="11" t="s">
        <v>220</v>
      </c>
      <c r="K153" s="6" t="str">
        <f t="shared" si="3"/>
        <v>#REF!</v>
      </c>
      <c r="L153" s="6" t="str">
        <f t="shared" si="4"/>
        <v>#REF!</v>
      </c>
      <c r="M153" s="12">
        <v>0.98</v>
      </c>
      <c r="N153" s="6">
        <v>50.0</v>
      </c>
      <c r="O153" s="6">
        <v>4.0</v>
      </c>
      <c r="P153" s="6">
        <v>2.0</v>
      </c>
      <c r="Q153" s="6">
        <v>0.0</v>
      </c>
      <c r="R153" s="6">
        <v>0.0</v>
      </c>
    </row>
    <row r="154" ht="22.5" customHeight="1">
      <c r="A154" s="7" t="s">
        <v>361</v>
      </c>
      <c r="B154" s="30" t="s">
        <v>202</v>
      </c>
      <c r="C154" s="31">
        <v>3.0</v>
      </c>
      <c r="D154" s="31"/>
      <c r="E154" s="31" t="s">
        <v>214</v>
      </c>
      <c r="F154" s="31">
        <v>11.0</v>
      </c>
      <c r="G154" s="9" t="s">
        <v>362</v>
      </c>
      <c r="H154" s="1" t="str">
        <f t="shared" si="2"/>
        <v>#REF!</v>
      </c>
      <c r="I154" s="10" t="str">
        <f>IFERROR(__xludf.DUMMYFUNCTION("if(or(L154=0),"""",IFERROR(TEXTJOIN("", "",
  TRUE,
  FILTER(
    TRIM(SPLIT(G154, "","")),
    MAP(
      TRIM(SPLIT(G154, "","")),
      LAMBDA(clave,
        COUNTIF('Asignaturas2026-2'!B:B, clave )&gt;0
      )
    )
  )
)))"),"#REF!")</f>
        <v>#REF!</v>
      </c>
      <c r="J154" s="11" t="s">
        <v>220</v>
      </c>
      <c r="K154" s="6" t="str">
        <f t="shared" si="3"/>
        <v>#REF!</v>
      </c>
      <c r="L154" s="6" t="str">
        <f t="shared" si="4"/>
        <v>#REF!</v>
      </c>
      <c r="M154" s="12">
        <v>0.98</v>
      </c>
      <c r="N154" s="6">
        <v>50.0</v>
      </c>
      <c r="O154" s="6">
        <v>4.0</v>
      </c>
      <c r="P154" s="6">
        <v>2.0</v>
      </c>
      <c r="Q154" s="6">
        <v>0.0</v>
      </c>
      <c r="R154" s="6">
        <v>0.0</v>
      </c>
    </row>
    <row r="155" ht="22.5" customHeight="1">
      <c r="A155" s="7" t="s">
        <v>363</v>
      </c>
      <c r="B155" s="30" t="s">
        <v>364</v>
      </c>
      <c r="C155" s="31">
        <v>3.0</v>
      </c>
      <c r="D155" s="31"/>
      <c r="E155" s="31" t="s">
        <v>365</v>
      </c>
      <c r="F155" s="31">
        <v>11.0</v>
      </c>
      <c r="G155" s="9"/>
      <c r="H155" s="1" t="str">
        <f t="shared" si="2"/>
        <v>#REF!</v>
      </c>
      <c r="I155" s="10" t="str">
        <f>IFERROR(__xludf.DUMMYFUNCTION("if(or(L155=0),"""",IFERROR(TEXTJOIN("", "",
  TRUE,
  FILTER(
    TRIM(SPLIT(G155, "","")),
    MAP(
      TRIM(SPLIT(G155, "","")),
      LAMBDA(clave,
        COUNTIF('Asignaturas2026-2'!B:B, clave )&gt;0
      )
    )
  )
)))"),"#REF!")</f>
        <v>#REF!</v>
      </c>
      <c r="J155" s="11" t="s">
        <v>220</v>
      </c>
      <c r="K155" s="6" t="str">
        <f t="shared" si="3"/>
        <v>#REF!</v>
      </c>
      <c r="L155" s="6" t="str">
        <f t="shared" si="4"/>
        <v>#REF!</v>
      </c>
      <c r="M155" s="12">
        <v>1.0</v>
      </c>
      <c r="N155" s="6">
        <v>50.0</v>
      </c>
      <c r="O155" s="6">
        <v>4.0</v>
      </c>
      <c r="P155" s="6">
        <v>2.0</v>
      </c>
      <c r="Q155" s="6">
        <v>0.0</v>
      </c>
      <c r="R155" s="6">
        <v>0.0</v>
      </c>
    </row>
    <row r="156" ht="22.5" customHeight="1">
      <c r="A156" s="7" t="s">
        <v>366</v>
      </c>
      <c r="B156" s="30" t="s">
        <v>142</v>
      </c>
      <c r="C156" s="31">
        <v>5.0</v>
      </c>
      <c r="D156" s="31"/>
      <c r="E156" s="32"/>
      <c r="F156" s="33">
        <v>11.0</v>
      </c>
      <c r="G156" s="9" t="s">
        <v>367</v>
      </c>
      <c r="H156" s="1" t="str">
        <f t="shared" si="2"/>
        <v>#REF!</v>
      </c>
      <c r="I156" s="10" t="str">
        <f>IFERROR(__xludf.DUMMYFUNCTION("if(or(L156=0),"""",IFERROR(TEXTJOIN("", "",
  TRUE,
  FILTER(
    TRIM(SPLIT(G156, "","")),
    MAP(
      TRIM(SPLIT(G156, "","")),
      LAMBDA(clave,
        COUNTIF('Asignaturas2026-2'!B:B, clave )&gt;0
      )
    )
  )
)))"),"#REF!")</f>
        <v>#REF!</v>
      </c>
      <c r="J156" s="11" t="s">
        <v>220</v>
      </c>
      <c r="K156" s="6" t="str">
        <f t="shared" si="3"/>
        <v>#REF!</v>
      </c>
      <c r="L156" s="6" t="str">
        <f t="shared" si="4"/>
        <v>#REF!</v>
      </c>
      <c r="M156" s="12">
        <v>1.0</v>
      </c>
      <c r="N156" s="6" t="e">
        <v>#N/A</v>
      </c>
      <c r="O156" s="6">
        <v>0.0</v>
      </c>
      <c r="P156" s="6">
        <v>0.0</v>
      </c>
      <c r="Q156" s="6">
        <v>0.0</v>
      </c>
      <c r="R156" s="6">
        <v>0.0</v>
      </c>
    </row>
    <row r="157" ht="22.5" customHeight="1">
      <c r="A157" s="7" t="s">
        <v>368</v>
      </c>
      <c r="B157" s="34" t="s">
        <v>146</v>
      </c>
      <c r="C157" s="35">
        <v>12.0</v>
      </c>
      <c r="D157" s="35"/>
      <c r="E157" s="35" t="s">
        <v>369</v>
      </c>
      <c r="F157" s="33">
        <v>12.0</v>
      </c>
      <c r="G157" s="9" t="s">
        <v>370</v>
      </c>
      <c r="H157" s="1" t="str">
        <f t="shared" si="2"/>
        <v>#REF!</v>
      </c>
      <c r="I157" s="10" t="str">
        <f>IFERROR(__xludf.DUMMYFUNCTION("if(or(L157=0),"""",IFERROR(TEXTJOIN("", "",
  TRUE,
  FILTER(
    TRIM(SPLIT(G157, "","")),
    MAP(
      TRIM(SPLIT(G157, "","")),
      LAMBDA(clave,
        COUNTIF('Asignaturas2026-2'!B:B, clave )&gt;0
      )
    )
  )
)))"),"#REF!")</f>
        <v>#REF!</v>
      </c>
      <c r="J157" s="11" t="s">
        <v>220</v>
      </c>
      <c r="K157" s="6" t="str">
        <f t="shared" si="3"/>
        <v>#REF!</v>
      </c>
      <c r="L157" s="6" t="str">
        <f t="shared" si="4"/>
        <v>#REF!</v>
      </c>
      <c r="M157" s="12">
        <v>1.0</v>
      </c>
      <c r="N157" s="6" t="e">
        <v>#N/A</v>
      </c>
      <c r="O157" s="6">
        <v>0.0</v>
      </c>
      <c r="P157" s="6">
        <v>0.0</v>
      </c>
      <c r="Q157" s="6">
        <v>0.0</v>
      </c>
      <c r="R157" s="6">
        <v>0.0</v>
      </c>
    </row>
    <row r="158" ht="22.5" customHeight="1">
      <c r="A158" s="7" t="s">
        <v>43</v>
      </c>
      <c r="B158" s="30" t="s">
        <v>44</v>
      </c>
      <c r="C158" s="31">
        <v>2.0</v>
      </c>
      <c r="D158" s="31"/>
      <c r="E158" s="32"/>
      <c r="F158" s="31">
        <v>1.0</v>
      </c>
      <c r="G158" s="19" t="s">
        <v>44</v>
      </c>
      <c r="H158" s="1" t="str">
        <f t="shared" si="2"/>
        <v>#REF!</v>
      </c>
      <c r="I158" s="10" t="str">
        <f>IFERROR(__xludf.DUMMYFUNCTION("if(or(L158=0),"""",IFERROR(TEXTJOIN("", "",
  TRUE,
  FILTER(
    TRIM(SPLIT(G158, "","")),
    MAP(
      TRIM(SPLIT(G158, "","")),
      LAMBDA(clave,
        COUNTIF('Asignaturas2026-2'!B:B, clave )&gt;0
      )
    )
  )
)))"),"#REF!")</f>
        <v>#REF!</v>
      </c>
      <c r="J158" s="11" t="s">
        <v>371</v>
      </c>
      <c r="K158" s="6" t="str">
        <f t="shared" si="3"/>
        <v>#REF!</v>
      </c>
      <c r="L158" s="6" t="str">
        <f t="shared" si="4"/>
        <v>#REF!</v>
      </c>
      <c r="M158" s="12">
        <v>1.0</v>
      </c>
      <c r="N158" s="6">
        <v>60.0</v>
      </c>
      <c r="O158" s="6">
        <v>2.0</v>
      </c>
      <c r="P158" s="6">
        <v>0.0</v>
      </c>
      <c r="Q158" s="6">
        <v>0.0</v>
      </c>
      <c r="R158" s="6">
        <v>0.0</v>
      </c>
    </row>
    <row r="159" ht="22.5" customHeight="1">
      <c r="A159" s="7" t="s">
        <v>372</v>
      </c>
      <c r="B159" s="30" t="s">
        <v>19</v>
      </c>
      <c r="C159" s="31">
        <v>2.0</v>
      </c>
      <c r="D159" s="31"/>
      <c r="E159" s="32"/>
      <c r="F159" s="31">
        <v>1.0</v>
      </c>
      <c r="G159" s="9"/>
      <c r="H159" s="1" t="str">
        <f t="shared" si="2"/>
        <v>#REF!</v>
      </c>
      <c r="I159" s="10" t="str">
        <f>IFERROR(__xludf.DUMMYFUNCTION("if(or(L159=0),"""",IFERROR(TEXTJOIN("", "",
  TRUE,
  FILTER(
    TRIM(SPLIT(G159, "","")),
    MAP(
      TRIM(SPLIT(G159, "","")),
      LAMBDA(clave,
        COUNTIF('Asignaturas2026-2'!B:B, clave )&gt;0
      )
    )
  )
)))"),"#REF!")</f>
        <v>#REF!</v>
      </c>
      <c r="J159" s="11" t="s">
        <v>371</v>
      </c>
      <c r="K159" s="6" t="str">
        <f t="shared" si="3"/>
        <v>#REF!</v>
      </c>
      <c r="L159" s="6" t="str">
        <f t="shared" si="4"/>
        <v>#REF!</v>
      </c>
      <c r="M159" s="12">
        <v>0.84</v>
      </c>
      <c r="N159" s="6">
        <v>50.0</v>
      </c>
      <c r="O159" s="6">
        <v>2.0</v>
      </c>
      <c r="P159" s="6">
        <v>0.0</v>
      </c>
      <c r="Q159" s="6">
        <v>0.0</v>
      </c>
      <c r="R159" s="6">
        <v>0.0</v>
      </c>
    </row>
    <row r="160" ht="22.5" customHeight="1">
      <c r="A160" s="7" t="s">
        <v>373</v>
      </c>
      <c r="B160" s="30" t="s">
        <v>152</v>
      </c>
      <c r="C160" s="31">
        <v>3.0</v>
      </c>
      <c r="D160" s="31"/>
      <c r="E160" s="32"/>
      <c r="F160" s="31">
        <v>1.0</v>
      </c>
      <c r="G160" s="9" t="s">
        <v>374</v>
      </c>
      <c r="H160" s="1" t="str">
        <f t="shared" si="2"/>
        <v>#REF!</v>
      </c>
      <c r="I160" s="10" t="str">
        <f>IFERROR(__xludf.DUMMYFUNCTION("if(or(L160=0),"""",IFERROR(TEXTJOIN("", "",
  TRUE,
  FILTER(
    TRIM(SPLIT(G160, "","")),
    MAP(
      TRIM(SPLIT(G160, "","")),
      LAMBDA(clave,
        COUNTIF('Asignaturas2026-2'!B:B, clave )&gt;0
      )
    )
  )
)))"),"#REF!")</f>
        <v>#REF!</v>
      </c>
      <c r="J160" s="11" t="s">
        <v>371</v>
      </c>
      <c r="K160" s="6" t="str">
        <f t="shared" si="3"/>
        <v>#REF!</v>
      </c>
      <c r="L160" s="6" t="str">
        <f t="shared" si="4"/>
        <v>#REF!</v>
      </c>
      <c r="M160" s="12">
        <v>0.88</v>
      </c>
      <c r="N160" s="6">
        <v>50.0</v>
      </c>
      <c r="O160" s="6">
        <v>2.0</v>
      </c>
      <c r="P160" s="6">
        <v>2.0</v>
      </c>
      <c r="Q160" s="6">
        <v>2.0</v>
      </c>
      <c r="R160" s="6">
        <v>0.0</v>
      </c>
    </row>
    <row r="161" ht="22.5" customHeight="1">
      <c r="A161" s="7" t="s">
        <v>375</v>
      </c>
      <c r="B161" s="30" t="s">
        <v>23</v>
      </c>
      <c r="C161" s="31">
        <v>4.0</v>
      </c>
      <c r="D161" s="31"/>
      <c r="E161" s="32"/>
      <c r="F161" s="31">
        <v>1.0</v>
      </c>
      <c r="G161" s="9" t="s">
        <v>376</v>
      </c>
      <c r="H161" s="1" t="str">
        <f t="shared" si="2"/>
        <v>#REF!</v>
      </c>
      <c r="I161" s="10" t="str">
        <f>IFERROR(__xludf.DUMMYFUNCTION("if(or(L161=0),"""",IFERROR(TEXTJOIN("", "",
  TRUE,
  FILTER(
    TRIM(SPLIT(G161, "","")),
    MAP(
      TRIM(SPLIT(G161, "","")),
      LAMBDA(clave,
        COUNTIF('Asignaturas2026-2'!B:B, clave )&gt;0
      )
    )
  )
)))"),"#REF!")</f>
        <v>#REF!</v>
      </c>
      <c r="J161" s="11" t="s">
        <v>371</v>
      </c>
      <c r="K161" s="6" t="str">
        <f t="shared" si="3"/>
        <v>#REF!</v>
      </c>
      <c r="L161" s="6" t="str">
        <f t="shared" si="4"/>
        <v>#REF!</v>
      </c>
      <c r="M161" s="12">
        <v>0.365</v>
      </c>
      <c r="N161" s="6">
        <v>27.0</v>
      </c>
      <c r="O161" s="6">
        <v>4.0</v>
      </c>
      <c r="P161" s="6">
        <v>2.0</v>
      </c>
      <c r="Q161" s="6">
        <v>0.0</v>
      </c>
      <c r="R161" s="6">
        <v>0.0</v>
      </c>
    </row>
    <row r="162" ht="22.5" customHeight="1">
      <c r="A162" s="7" t="s">
        <v>377</v>
      </c>
      <c r="B162" s="30" t="s">
        <v>29</v>
      </c>
      <c r="C162" s="31">
        <v>6.0</v>
      </c>
      <c r="D162" s="31"/>
      <c r="E162" s="32"/>
      <c r="F162" s="31">
        <v>1.0</v>
      </c>
      <c r="G162" s="9" t="s">
        <v>153</v>
      </c>
      <c r="H162" s="1" t="str">
        <f t="shared" si="2"/>
        <v>#REF!</v>
      </c>
      <c r="I162" s="10" t="str">
        <f>IFERROR(__xludf.DUMMYFUNCTION("if(or(L162=0),"""",IFERROR(TEXTJOIN("", "",
  TRUE,
  FILTER(
    TRIM(SPLIT(G162, "","")),
    MAP(
      TRIM(SPLIT(G162, "","")),
      LAMBDA(clave,
        COUNTIF('Asignaturas2026-2'!B:B, clave )&gt;0
      )
    )
  )
)))"),"#REF!")</f>
        <v>#REF!</v>
      </c>
      <c r="J162" s="11" t="s">
        <v>371</v>
      </c>
      <c r="K162" s="6" t="str">
        <f t="shared" si="3"/>
        <v>#REF!</v>
      </c>
      <c r="L162" s="6" t="str">
        <f t="shared" si="4"/>
        <v>#REF!</v>
      </c>
      <c r="M162" s="12">
        <v>0.53</v>
      </c>
      <c r="N162" s="6">
        <v>50.0</v>
      </c>
      <c r="O162" s="6">
        <v>6.0</v>
      </c>
      <c r="P162" s="6">
        <v>0.0</v>
      </c>
      <c r="Q162" s="6">
        <v>4.0</v>
      </c>
      <c r="R162" s="6">
        <v>0.0</v>
      </c>
    </row>
    <row r="163" ht="22.5" customHeight="1">
      <c r="A163" s="7" t="s">
        <v>378</v>
      </c>
      <c r="B163" s="30" t="s">
        <v>32</v>
      </c>
      <c r="C163" s="31">
        <v>3.0</v>
      </c>
      <c r="D163" s="31"/>
      <c r="E163" s="32"/>
      <c r="F163" s="31">
        <v>2.0</v>
      </c>
      <c r="G163" s="9" t="s">
        <v>33</v>
      </c>
      <c r="H163" s="1" t="str">
        <f t="shared" si="2"/>
        <v>#REF!</v>
      </c>
      <c r="I163" s="10" t="str">
        <f>IFERROR(__xludf.DUMMYFUNCTION("if(or(L163=0),"""",IFERROR(TEXTJOIN("", "",
  TRUE,
  FILTER(
    TRIM(SPLIT(G163, "","")),
    MAP(
      TRIM(SPLIT(G163, "","")),
      LAMBDA(clave,
        COUNTIF('Asignaturas2026-2'!B:B, clave )&gt;0
      )
    )
  )
)))"),"#REF!")</f>
        <v>#REF!</v>
      </c>
      <c r="J163" s="11" t="s">
        <v>371</v>
      </c>
      <c r="K163" s="6" t="str">
        <f t="shared" si="3"/>
        <v>#REF!</v>
      </c>
      <c r="L163" s="6" t="str">
        <f t="shared" si="4"/>
        <v>#REF!</v>
      </c>
      <c r="M163" s="12">
        <v>1.0</v>
      </c>
      <c r="N163" s="6">
        <v>50.0</v>
      </c>
      <c r="O163" s="6">
        <v>2.0</v>
      </c>
      <c r="P163" s="6">
        <v>0.0</v>
      </c>
      <c r="Q163" s="25">
        <v>2.0</v>
      </c>
      <c r="R163" s="6">
        <v>0.0</v>
      </c>
    </row>
    <row r="164" ht="22.5" customHeight="1">
      <c r="A164" s="7" t="s">
        <v>379</v>
      </c>
      <c r="B164" s="30" t="s">
        <v>35</v>
      </c>
      <c r="C164" s="31">
        <v>4.0</v>
      </c>
      <c r="D164" s="31"/>
      <c r="E164" s="31" t="s">
        <v>380</v>
      </c>
      <c r="F164" s="31">
        <v>2.0</v>
      </c>
      <c r="G164" s="9" t="s">
        <v>381</v>
      </c>
      <c r="H164" s="1" t="str">
        <f t="shared" si="2"/>
        <v>#REF!</v>
      </c>
      <c r="I164" s="10" t="str">
        <f>IFERROR(__xludf.DUMMYFUNCTION("if(or(L164=0),"""",IFERROR(TEXTJOIN("", "",
  TRUE,
  FILTER(
    TRIM(SPLIT(G164, "","")),
    MAP(
      TRIM(SPLIT(G164, "","")),
      LAMBDA(clave,
        COUNTIF('Asignaturas2026-2'!B:B, clave )&gt;0
      )
    )
  )
)))"),"#REF!")</f>
        <v>#REF!</v>
      </c>
      <c r="J164" s="11" t="s">
        <v>371</v>
      </c>
      <c r="K164" s="6" t="str">
        <f t="shared" si="3"/>
        <v>#REF!</v>
      </c>
      <c r="L164" s="6" t="str">
        <f t="shared" si="4"/>
        <v>#REF!</v>
      </c>
      <c r="M164" s="12">
        <v>0.45</v>
      </c>
      <c r="N164" s="6">
        <v>30.0</v>
      </c>
      <c r="O164" s="6">
        <v>4.0</v>
      </c>
      <c r="P164" s="6">
        <v>2.0</v>
      </c>
      <c r="Q164" s="6">
        <v>0.0</v>
      </c>
      <c r="R164" s="6">
        <v>0.0</v>
      </c>
    </row>
    <row r="165" ht="22.5" customHeight="1">
      <c r="A165" s="7" t="s">
        <v>382</v>
      </c>
      <c r="B165" s="30" t="s">
        <v>38</v>
      </c>
      <c r="C165" s="31">
        <v>6.0</v>
      </c>
      <c r="D165" s="31"/>
      <c r="E165" s="31" t="s">
        <v>28</v>
      </c>
      <c r="F165" s="31">
        <v>2.0</v>
      </c>
      <c r="G165" s="9" t="s">
        <v>383</v>
      </c>
      <c r="H165" s="1" t="str">
        <f t="shared" si="2"/>
        <v>#REF!</v>
      </c>
      <c r="I165" s="10" t="str">
        <f>IFERROR(__xludf.DUMMYFUNCTION("if(or(L165=0),"""",IFERROR(TEXTJOIN("", "",
  TRUE,
  FILTER(
    TRIM(SPLIT(G165, "","")),
    MAP(
      TRIM(SPLIT(G165, "","")),
      LAMBDA(clave,
        COUNTIF('Asignaturas2026-2'!B:B, clave )&gt;0
      )
    )
  )
)))"),"#REF!")</f>
        <v>#REF!</v>
      </c>
      <c r="J165" s="11" t="s">
        <v>371</v>
      </c>
      <c r="K165" s="6" t="str">
        <f t="shared" si="3"/>
        <v>#REF!</v>
      </c>
      <c r="L165" s="6" t="str">
        <f t="shared" si="4"/>
        <v>#REF!</v>
      </c>
      <c r="M165" s="12">
        <v>0.25</v>
      </c>
      <c r="N165" s="6">
        <v>50.0</v>
      </c>
      <c r="O165" s="6">
        <v>6.0</v>
      </c>
      <c r="P165" s="6">
        <v>0.0</v>
      </c>
      <c r="Q165" s="6">
        <v>4.0</v>
      </c>
      <c r="R165" s="6">
        <v>0.0</v>
      </c>
    </row>
    <row r="166" ht="22.5" customHeight="1">
      <c r="A166" s="7" t="s">
        <v>384</v>
      </c>
      <c r="B166" s="30" t="s">
        <v>41</v>
      </c>
      <c r="C166" s="31">
        <v>4.0</v>
      </c>
      <c r="D166" s="31"/>
      <c r="E166" s="31" t="s">
        <v>28</v>
      </c>
      <c r="F166" s="31">
        <v>2.0</v>
      </c>
      <c r="G166" s="9" t="s">
        <v>157</v>
      </c>
      <c r="H166" s="1" t="str">
        <f t="shared" si="2"/>
        <v>#REF!</v>
      </c>
      <c r="I166" s="10" t="str">
        <f>IFERROR(__xludf.DUMMYFUNCTION("if(or(L166=0),"""",IFERROR(TEXTJOIN("", "",
  TRUE,
  FILTER(
    TRIM(SPLIT(G166, "","")),
    MAP(
      TRIM(SPLIT(G166, "","")),
      LAMBDA(clave,
        COUNTIF('Asignaturas2026-2'!B:B, clave )&gt;0
      )
    )
  )
)))"),"#REF!")</f>
        <v>#REF!</v>
      </c>
      <c r="J166" s="11" t="s">
        <v>371</v>
      </c>
      <c r="K166" s="6" t="str">
        <f t="shared" si="3"/>
        <v>#REF!</v>
      </c>
      <c r="L166" s="6" t="str">
        <f t="shared" si="4"/>
        <v>#REF!</v>
      </c>
      <c r="M166" s="12">
        <v>0.5</v>
      </c>
      <c r="N166" s="6">
        <v>50.0</v>
      </c>
      <c r="O166" s="6">
        <v>4.0</v>
      </c>
      <c r="P166" s="6">
        <v>0.0</v>
      </c>
      <c r="Q166" s="6">
        <v>2.0</v>
      </c>
      <c r="R166" s="6">
        <v>0.0</v>
      </c>
    </row>
    <row r="167" ht="22.5" customHeight="1">
      <c r="A167" s="7" t="s">
        <v>385</v>
      </c>
      <c r="B167" s="30" t="s">
        <v>79</v>
      </c>
      <c r="C167" s="31">
        <v>4.0</v>
      </c>
      <c r="D167" s="31"/>
      <c r="E167" s="32"/>
      <c r="F167" s="31">
        <v>3.0</v>
      </c>
      <c r="G167" s="9"/>
      <c r="H167" s="1" t="str">
        <f t="shared" si="2"/>
        <v>#REF!</v>
      </c>
      <c r="I167" s="10" t="str">
        <f>IFERROR(__xludf.DUMMYFUNCTION("if(or(L167=0),"""",IFERROR(TEXTJOIN("", "",
  TRUE,
  FILTER(
    TRIM(SPLIT(G167, "","")),
    MAP(
      TRIM(SPLIT(G167, "","")),
      LAMBDA(clave,
        COUNTIF('Asignaturas2026-2'!B:B, clave )&gt;0
      )
    )
  )
)))"),"#REF!")</f>
        <v>#REF!</v>
      </c>
      <c r="J167" s="11" t="s">
        <v>371</v>
      </c>
      <c r="K167" s="6" t="str">
        <f t="shared" si="3"/>
        <v>#REF!</v>
      </c>
      <c r="L167" s="6" t="str">
        <f t="shared" si="4"/>
        <v>#REF!</v>
      </c>
      <c r="M167" s="12">
        <v>0.7050000000000001</v>
      </c>
      <c r="N167" s="6">
        <v>50.0</v>
      </c>
      <c r="O167" s="6">
        <v>4.0</v>
      </c>
      <c r="P167" s="6">
        <v>2.0</v>
      </c>
      <c r="Q167" s="6">
        <v>0.0</v>
      </c>
      <c r="R167" s="6">
        <v>0.0</v>
      </c>
    </row>
    <row r="168" ht="22.5" customHeight="1">
      <c r="A168" s="7" t="s">
        <v>386</v>
      </c>
      <c r="B168" s="36" t="s">
        <v>49</v>
      </c>
      <c r="C168" s="31">
        <v>4.0</v>
      </c>
      <c r="D168" s="31"/>
      <c r="E168" s="31" t="s">
        <v>387</v>
      </c>
      <c r="F168" s="31">
        <v>3.0</v>
      </c>
      <c r="G168" s="9" t="s">
        <v>388</v>
      </c>
      <c r="H168" s="1" t="str">
        <f t="shared" si="2"/>
        <v>#REF!</v>
      </c>
      <c r="I168" s="10" t="str">
        <f>IFERROR(__xludf.DUMMYFUNCTION("if(or(L168=0),"""",IFERROR(TEXTJOIN("", "",
  TRUE,
  FILTER(
    TRIM(SPLIT(G168, "","")),
    MAP(
      TRIM(SPLIT(G168, "","")),
      LAMBDA(clave,
        COUNTIF('Asignaturas2026-2'!B:B, clave )&gt;0
      )
    )
  )
)))"),"#REF!")</f>
        <v>#REF!</v>
      </c>
      <c r="J168" s="11" t="s">
        <v>371</v>
      </c>
      <c r="K168" s="6" t="str">
        <f t="shared" si="3"/>
        <v>#REF!</v>
      </c>
      <c r="L168" s="6" t="str">
        <f t="shared" si="4"/>
        <v>#REF!</v>
      </c>
      <c r="M168" s="12">
        <v>0.635</v>
      </c>
      <c r="N168" s="6">
        <v>50.0</v>
      </c>
      <c r="O168" s="6">
        <v>4.0</v>
      </c>
      <c r="P168" s="6">
        <v>2.0</v>
      </c>
      <c r="Q168" s="6">
        <v>0.0</v>
      </c>
      <c r="R168" s="6">
        <v>0.0</v>
      </c>
    </row>
    <row r="169" ht="22.5" customHeight="1">
      <c r="A169" s="7" t="s">
        <v>389</v>
      </c>
      <c r="B169" s="30" t="s">
        <v>97</v>
      </c>
      <c r="C169" s="31">
        <v>4.0</v>
      </c>
      <c r="D169" s="31"/>
      <c r="E169" s="31" t="s">
        <v>387</v>
      </c>
      <c r="F169" s="31">
        <v>3.0</v>
      </c>
      <c r="G169" s="9" t="s">
        <v>390</v>
      </c>
      <c r="H169" s="1" t="str">
        <f t="shared" si="2"/>
        <v>#REF!</v>
      </c>
      <c r="I169" s="10" t="str">
        <f>IFERROR(__xludf.DUMMYFUNCTION("if(or(L169=0),"""",IFERROR(TEXTJOIN("", "",
  TRUE,
  FILTER(
    TRIM(SPLIT(G169, "","")),
    MAP(
      TRIM(SPLIT(G169, "","")),
      LAMBDA(clave,
        COUNTIF('Asignaturas2026-2'!B:B, clave )&gt;0
      )
    )
  )
)))"),"#REF!")</f>
        <v>#REF!</v>
      </c>
      <c r="J169" s="11" t="s">
        <v>371</v>
      </c>
      <c r="K169" s="6" t="str">
        <f t="shared" si="3"/>
        <v>#REF!</v>
      </c>
      <c r="L169" s="6" t="str">
        <f t="shared" si="4"/>
        <v>#REF!</v>
      </c>
      <c r="M169" s="12">
        <v>0.78</v>
      </c>
      <c r="N169" s="6">
        <v>50.0</v>
      </c>
      <c r="O169" s="6">
        <v>4.0</v>
      </c>
      <c r="P169" s="6">
        <v>0.0</v>
      </c>
      <c r="Q169" s="6">
        <v>2.0</v>
      </c>
      <c r="R169" s="6">
        <v>0.0</v>
      </c>
    </row>
    <row r="170" ht="22.5" customHeight="1">
      <c r="A170" s="7" t="s">
        <v>391</v>
      </c>
      <c r="B170" s="30" t="s">
        <v>52</v>
      </c>
      <c r="C170" s="31">
        <v>5.0</v>
      </c>
      <c r="D170" s="31"/>
      <c r="E170" s="31" t="s">
        <v>28</v>
      </c>
      <c r="F170" s="31">
        <v>3.0</v>
      </c>
      <c r="G170" s="9" t="s">
        <v>161</v>
      </c>
      <c r="H170" s="1" t="str">
        <f t="shared" si="2"/>
        <v>#REF!</v>
      </c>
      <c r="I170" s="10" t="str">
        <f>IFERROR(__xludf.DUMMYFUNCTION("if(or(L170=0),"""",IFERROR(TEXTJOIN("", "",
  TRUE,
  FILTER(
    TRIM(SPLIT(G170, "","")),
    MAP(
      TRIM(SPLIT(G170, "","")),
      LAMBDA(clave,
        COUNTIF('Asignaturas2026-2'!B:B, clave )&gt;0
      )
    )
  )
)))"),"#REF!")</f>
        <v>#REF!</v>
      </c>
      <c r="J170" s="11" t="s">
        <v>371</v>
      </c>
      <c r="K170" s="6" t="str">
        <f t="shared" si="3"/>
        <v>#REF!</v>
      </c>
      <c r="L170" s="6" t="str">
        <f t="shared" si="4"/>
        <v>#REF!</v>
      </c>
      <c r="M170" s="12">
        <v>1.0</v>
      </c>
      <c r="N170" s="6">
        <v>50.0</v>
      </c>
      <c r="O170" s="6">
        <v>6.0</v>
      </c>
      <c r="P170" s="6">
        <v>0.0</v>
      </c>
      <c r="Q170" s="6">
        <v>2.0</v>
      </c>
      <c r="R170" s="6">
        <v>0.0</v>
      </c>
    </row>
    <row r="171" ht="22.5" customHeight="1">
      <c r="A171" s="7" t="s">
        <v>392</v>
      </c>
      <c r="B171" s="30" t="s">
        <v>58</v>
      </c>
      <c r="C171" s="31">
        <v>2.0</v>
      </c>
      <c r="D171" s="31"/>
      <c r="E171" s="32"/>
      <c r="F171" s="31">
        <v>4.0</v>
      </c>
      <c r="G171" s="9"/>
      <c r="H171" s="1" t="str">
        <f t="shared" si="2"/>
        <v>#REF!</v>
      </c>
      <c r="I171" s="10" t="str">
        <f>IFERROR(__xludf.DUMMYFUNCTION("if(or(L171=0),"""",IFERROR(TEXTJOIN("", "",
  TRUE,
  FILTER(
    TRIM(SPLIT(G171, "","")),
    MAP(
      TRIM(SPLIT(G171, "","")),
      LAMBDA(clave,
        COUNTIF('Asignaturas2026-2'!B:B, clave )&gt;0
      )
    )
  )
)))"),"#REF!")</f>
        <v>#REF!</v>
      </c>
      <c r="J171" s="11" t="s">
        <v>371</v>
      </c>
      <c r="K171" s="6" t="str">
        <f t="shared" si="3"/>
        <v>#REF!</v>
      </c>
      <c r="L171" s="6" t="str">
        <f t="shared" si="4"/>
        <v>#REF!</v>
      </c>
      <c r="M171" s="12">
        <v>1.0</v>
      </c>
      <c r="N171" s="6">
        <v>25.0</v>
      </c>
      <c r="O171" s="6">
        <v>4.0</v>
      </c>
      <c r="P171" s="6">
        <v>0.0</v>
      </c>
      <c r="Q171" s="6">
        <v>2.0</v>
      </c>
      <c r="R171" s="6">
        <v>0.0</v>
      </c>
    </row>
    <row r="172" ht="22.5" customHeight="1">
      <c r="A172" s="7" t="s">
        <v>393</v>
      </c>
      <c r="B172" s="30" t="s">
        <v>82</v>
      </c>
      <c r="C172" s="31">
        <v>4.0</v>
      </c>
      <c r="D172" s="31"/>
      <c r="E172" s="31" t="s">
        <v>387</v>
      </c>
      <c r="F172" s="31">
        <v>4.0</v>
      </c>
      <c r="G172" s="9" t="s">
        <v>394</v>
      </c>
      <c r="H172" s="1" t="str">
        <f t="shared" si="2"/>
        <v>#REF!</v>
      </c>
      <c r="I172" s="10" t="str">
        <f>IFERROR(__xludf.DUMMYFUNCTION("if(or(L172=0),"""",IFERROR(TEXTJOIN("", "",
  TRUE,
  FILTER(
    TRIM(SPLIT(G172, "","")),
    MAP(
      TRIM(SPLIT(G172, "","")),
      LAMBDA(clave,
        COUNTIF('Asignaturas2026-2'!B:B, clave )&gt;0
      )
    )
  )
)))"),"#REF!")</f>
        <v>#REF!</v>
      </c>
      <c r="J172" s="11" t="s">
        <v>371</v>
      </c>
      <c r="K172" s="6" t="str">
        <f t="shared" si="3"/>
        <v>#REF!</v>
      </c>
      <c r="L172" s="6" t="str">
        <f t="shared" si="4"/>
        <v>#REF!</v>
      </c>
      <c r="M172" s="12">
        <v>1.0</v>
      </c>
      <c r="N172" s="6">
        <v>50.0</v>
      </c>
      <c r="O172" s="6">
        <v>4.0</v>
      </c>
      <c r="P172" s="6">
        <v>2.0</v>
      </c>
      <c r="Q172" s="6">
        <v>0.0</v>
      </c>
      <c r="R172" s="6">
        <v>0.0</v>
      </c>
    </row>
    <row r="173" ht="22.5" customHeight="1">
      <c r="A173" s="7" t="s">
        <v>395</v>
      </c>
      <c r="B173" s="30" t="s">
        <v>164</v>
      </c>
      <c r="C173" s="31">
        <v>4.0</v>
      </c>
      <c r="D173" s="31"/>
      <c r="E173" s="31" t="s">
        <v>396</v>
      </c>
      <c r="F173" s="31">
        <v>4.0</v>
      </c>
      <c r="G173" s="9"/>
      <c r="H173" s="1" t="str">
        <f t="shared" si="2"/>
        <v>#REF!</v>
      </c>
      <c r="I173" s="10" t="str">
        <f>IFERROR(__xludf.DUMMYFUNCTION("if(or(L173=0),"""",IFERROR(TEXTJOIN("", "",
  TRUE,
  FILTER(
    TRIM(SPLIT(G173, "","")),
    MAP(
      TRIM(SPLIT(G173, "","")),
      LAMBDA(clave,
        COUNTIF('Asignaturas2026-2'!B:B, clave )&gt;0
      )
    )
  )
)))"),"#REF!")</f>
        <v>#REF!</v>
      </c>
      <c r="J173" s="11" t="s">
        <v>371</v>
      </c>
      <c r="K173" s="6" t="str">
        <f t="shared" si="3"/>
        <v>#REF!</v>
      </c>
      <c r="L173" s="6" t="str">
        <f t="shared" si="4"/>
        <v>#REF!</v>
      </c>
      <c r="M173" s="12">
        <v>0.8</v>
      </c>
      <c r="N173" s="6">
        <v>50.0</v>
      </c>
      <c r="O173" s="6">
        <v>4.0</v>
      </c>
      <c r="P173" s="6">
        <v>2.0</v>
      </c>
      <c r="Q173" s="6">
        <v>0.0</v>
      </c>
      <c r="R173" s="6">
        <v>0.0</v>
      </c>
    </row>
    <row r="174" ht="22.5" customHeight="1">
      <c r="A174" s="7" t="s">
        <v>397</v>
      </c>
      <c r="B174" s="30" t="s">
        <v>185</v>
      </c>
      <c r="C174" s="31">
        <v>4.0</v>
      </c>
      <c r="D174" s="31"/>
      <c r="E174" s="31" t="s">
        <v>396</v>
      </c>
      <c r="F174" s="31">
        <v>4.0</v>
      </c>
      <c r="G174" s="9" t="s">
        <v>398</v>
      </c>
      <c r="H174" s="1" t="str">
        <f t="shared" si="2"/>
        <v>#REF!</v>
      </c>
      <c r="I174" s="10" t="str">
        <f>IFERROR(__xludf.DUMMYFUNCTION("if(or(L174=0),"""",IFERROR(TEXTJOIN("", "",
  TRUE,
  FILTER(
    TRIM(SPLIT(G174, "","")),
    MAP(
      TRIM(SPLIT(G174, "","")),
      LAMBDA(clave,
        COUNTIF('Asignaturas2026-2'!B:B, clave )&gt;0
      )
    )
  )
)))"),"#REF!")</f>
        <v>#REF!</v>
      </c>
      <c r="J174" s="11" t="s">
        <v>371</v>
      </c>
      <c r="K174" s="6" t="str">
        <f t="shared" si="3"/>
        <v>#REF!</v>
      </c>
      <c r="L174" s="6" t="str">
        <f t="shared" si="4"/>
        <v>#REF!</v>
      </c>
      <c r="M174" s="12">
        <v>1.0</v>
      </c>
      <c r="N174" s="6">
        <v>50.0</v>
      </c>
      <c r="O174" s="6">
        <v>4.0</v>
      </c>
      <c r="P174" s="6">
        <v>0.0</v>
      </c>
      <c r="Q174" s="25">
        <v>2.0</v>
      </c>
      <c r="R174" s="6">
        <v>0.0</v>
      </c>
    </row>
    <row r="175" ht="22.5" customHeight="1">
      <c r="A175" s="7" t="s">
        <v>399</v>
      </c>
      <c r="B175" s="30" t="s">
        <v>119</v>
      </c>
      <c r="C175" s="31">
        <v>4.0</v>
      </c>
      <c r="D175" s="31"/>
      <c r="E175" s="31" t="s">
        <v>400</v>
      </c>
      <c r="F175" s="31">
        <v>4.0</v>
      </c>
      <c r="G175" s="9" t="s">
        <v>401</v>
      </c>
      <c r="H175" s="1" t="str">
        <f t="shared" si="2"/>
        <v>#REF!</v>
      </c>
      <c r="I175" s="10" t="str">
        <f>IFERROR(__xludf.DUMMYFUNCTION("if(or(L175=0),"""",IFERROR(TEXTJOIN("", "",
  TRUE,
  FILTER(
    TRIM(SPLIT(G175, "","")),
    MAP(
      TRIM(SPLIT(G175, "","")),
      LAMBDA(clave,
        COUNTIF('Asignaturas2026-2'!B:B, clave )&gt;0
      )
    )
  )
)))"),"#REF!")</f>
        <v>#REF!</v>
      </c>
      <c r="J175" s="11" t="s">
        <v>371</v>
      </c>
      <c r="K175" s="6" t="str">
        <f t="shared" si="3"/>
        <v>#REF!</v>
      </c>
      <c r="L175" s="6" t="str">
        <f t="shared" si="4"/>
        <v>#REF!</v>
      </c>
      <c r="M175" s="12">
        <v>1.0</v>
      </c>
      <c r="N175" s="6">
        <v>50.0</v>
      </c>
      <c r="O175" s="6">
        <v>4.0</v>
      </c>
      <c r="P175" s="6">
        <v>2.0</v>
      </c>
      <c r="Q175" s="6">
        <v>0.0</v>
      </c>
      <c r="R175" s="6">
        <v>0.0</v>
      </c>
    </row>
    <row r="176" ht="22.5" customHeight="1">
      <c r="A176" s="7" t="s">
        <v>402</v>
      </c>
      <c r="B176" s="30" t="s">
        <v>72</v>
      </c>
      <c r="C176" s="31">
        <v>2.0</v>
      </c>
      <c r="D176" s="31"/>
      <c r="E176" s="31" t="s">
        <v>57</v>
      </c>
      <c r="F176" s="31">
        <v>5.0</v>
      </c>
      <c r="G176" s="9"/>
      <c r="H176" s="1" t="str">
        <f t="shared" si="2"/>
        <v>#REF!</v>
      </c>
      <c r="I176" s="10" t="str">
        <f>IFERROR(__xludf.DUMMYFUNCTION("if(or(L176=0),"""",IFERROR(TEXTJOIN("", "",
  TRUE,
  FILTER(
    TRIM(SPLIT(G176, "","")),
    MAP(
      TRIM(SPLIT(G176, "","")),
      LAMBDA(clave,
        COUNTIF('Asignaturas2026-2'!B:B, clave )&gt;0
      )
    )
  )
)))"),"#REF!")</f>
        <v>#REF!</v>
      </c>
      <c r="J176" s="11" t="s">
        <v>371</v>
      </c>
      <c r="K176" s="6" t="str">
        <f t="shared" si="3"/>
        <v>#REF!</v>
      </c>
      <c r="L176" s="6" t="str">
        <f t="shared" si="4"/>
        <v>#REF!</v>
      </c>
      <c r="M176" s="12">
        <v>1.0</v>
      </c>
      <c r="N176" s="6">
        <v>25.0</v>
      </c>
      <c r="O176" s="6">
        <v>4.0</v>
      </c>
      <c r="P176" s="6">
        <v>0.0</v>
      </c>
      <c r="Q176" s="6">
        <v>2.0</v>
      </c>
      <c r="R176" s="6">
        <v>0.0</v>
      </c>
    </row>
    <row r="177" ht="22.5" customHeight="1">
      <c r="A177" s="7" t="s">
        <v>403</v>
      </c>
      <c r="B177" s="30" t="s">
        <v>125</v>
      </c>
      <c r="C177" s="31">
        <v>3.0</v>
      </c>
      <c r="D177" s="31"/>
      <c r="E177" s="32"/>
      <c r="F177" s="31">
        <v>5.0</v>
      </c>
      <c r="G177" s="9" t="s">
        <v>404</v>
      </c>
      <c r="H177" s="1" t="str">
        <f t="shared" si="2"/>
        <v>#REF!</v>
      </c>
      <c r="I177" s="10" t="str">
        <f>IFERROR(__xludf.DUMMYFUNCTION("if(or(L177=0),"""",IFERROR(TEXTJOIN("", "",
  TRUE,
  FILTER(
    TRIM(SPLIT(G177, "","")),
    MAP(
      TRIM(SPLIT(G177, "","")),
      LAMBDA(clave,
        COUNTIF('Asignaturas2026-2'!B:B, clave )&gt;0
      )
    )
  )
)))"),"#REF!")</f>
        <v>#REF!</v>
      </c>
      <c r="J177" s="11" t="s">
        <v>371</v>
      </c>
      <c r="K177" s="6" t="str">
        <f t="shared" si="3"/>
        <v>#REF!</v>
      </c>
      <c r="L177" s="6" t="str">
        <f t="shared" si="4"/>
        <v>#REF!</v>
      </c>
      <c r="M177" s="12">
        <v>0.915</v>
      </c>
      <c r="N177" s="6">
        <v>50.0</v>
      </c>
      <c r="O177" s="6">
        <v>4.0</v>
      </c>
      <c r="P177" s="6">
        <v>0.0</v>
      </c>
      <c r="Q177" s="6">
        <v>0.0</v>
      </c>
      <c r="R177" s="6">
        <v>0.0</v>
      </c>
    </row>
    <row r="178" ht="22.5" customHeight="1">
      <c r="A178" s="7" t="s">
        <v>405</v>
      </c>
      <c r="B178" s="30" t="s">
        <v>194</v>
      </c>
      <c r="C178" s="31">
        <v>3.0</v>
      </c>
      <c r="D178" s="31"/>
      <c r="E178" s="31" t="s">
        <v>406</v>
      </c>
      <c r="F178" s="31">
        <v>5.0</v>
      </c>
      <c r="G178" s="9"/>
      <c r="H178" s="1" t="str">
        <f t="shared" si="2"/>
        <v>#REF!</v>
      </c>
      <c r="I178" s="10" t="str">
        <f>IFERROR(__xludf.DUMMYFUNCTION("if(or(L178=0),"""",IFERROR(TEXTJOIN("", "",
  TRUE,
  FILTER(
    TRIM(SPLIT(G178, "","")),
    MAP(
      TRIM(SPLIT(G178, "","")),
      LAMBDA(clave,
        COUNTIF('Asignaturas2026-2'!B:B, clave )&gt;0
      )
    )
  )
)))"),"#REF!")</f>
        <v>#REF!</v>
      </c>
      <c r="J178" s="11" t="s">
        <v>371</v>
      </c>
      <c r="K178" s="6" t="str">
        <f t="shared" si="3"/>
        <v>#REF!</v>
      </c>
      <c r="L178" s="6" t="str">
        <f t="shared" si="4"/>
        <v>#REF!</v>
      </c>
      <c r="M178" s="12">
        <v>0.78</v>
      </c>
      <c r="N178" s="6">
        <v>50.0</v>
      </c>
      <c r="O178" s="6">
        <v>4.0</v>
      </c>
      <c r="P178" s="6">
        <v>2.0</v>
      </c>
      <c r="Q178" s="6">
        <v>0.0</v>
      </c>
      <c r="R178" s="6">
        <v>0.0</v>
      </c>
    </row>
    <row r="179" ht="22.5" customHeight="1">
      <c r="A179" s="7" t="s">
        <v>407</v>
      </c>
      <c r="B179" s="30" t="s">
        <v>92</v>
      </c>
      <c r="C179" s="31">
        <v>4.0</v>
      </c>
      <c r="D179" s="31"/>
      <c r="E179" s="31" t="s">
        <v>408</v>
      </c>
      <c r="F179" s="31">
        <v>5.0</v>
      </c>
      <c r="G179" s="9"/>
      <c r="H179" s="1" t="str">
        <f t="shared" si="2"/>
        <v>#REF!</v>
      </c>
      <c r="I179" s="10" t="str">
        <f>IFERROR(__xludf.DUMMYFUNCTION("if(or(L179=0),"""",IFERROR(TEXTJOIN("", "",
  TRUE,
  FILTER(
    TRIM(SPLIT(G179, "","")),
    MAP(
      TRIM(SPLIT(G179, "","")),
      LAMBDA(clave,
        COUNTIF('Asignaturas2026-2'!B:B, clave )&gt;0
      )
    )
  )
)))"),"#REF!")</f>
        <v>#REF!</v>
      </c>
      <c r="J179" s="11" t="s">
        <v>371</v>
      </c>
      <c r="K179" s="6" t="str">
        <f t="shared" si="3"/>
        <v>#REF!</v>
      </c>
      <c r="L179" s="6" t="str">
        <f t="shared" si="4"/>
        <v>#REF!</v>
      </c>
      <c r="M179" s="12">
        <v>0.88</v>
      </c>
      <c r="N179" s="6">
        <v>50.0</v>
      </c>
      <c r="O179" s="6">
        <v>4.0</v>
      </c>
      <c r="P179" s="6">
        <v>2.0</v>
      </c>
      <c r="Q179" s="6">
        <v>0.0</v>
      </c>
      <c r="R179" s="6">
        <v>0.0</v>
      </c>
    </row>
    <row r="180" ht="22.5" customHeight="1">
      <c r="A180" s="7" t="s">
        <v>409</v>
      </c>
      <c r="B180" s="30" t="s">
        <v>176</v>
      </c>
      <c r="C180" s="31">
        <v>4.0</v>
      </c>
      <c r="D180" s="31"/>
      <c r="E180" s="31" t="s">
        <v>410</v>
      </c>
      <c r="F180" s="31">
        <v>5.0</v>
      </c>
      <c r="G180" s="9"/>
      <c r="H180" s="1" t="str">
        <f t="shared" si="2"/>
        <v>#REF!</v>
      </c>
      <c r="I180" s="10" t="str">
        <f>IFERROR(__xludf.DUMMYFUNCTION("if(or(L180=0),"""",IFERROR(TEXTJOIN("", "",
  TRUE,
  FILTER(
    TRIM(SPLIT(G180, "","")),
    MAP(
      TRIM(SPLIT(G180, "","")),
      LAMBDA(clave,
        COUNTIF('Asignaturas2026-2'!B:B, clave )&gt;0
      )
    )
  )
)))"),"#REF!")</f>
        <v>#REF!</v>
      </c>
      <c r="J180" s="11" t="s">
        <v>371</v>
      </c>
      <c r="K180" s="6" t="str">
        <f t="shared" si="3"/>
        <v>#REF!</v>
      </c>
      <c r="L180" s="6" t="str">
        <f t="shared" si="4"/>
        <v>#REF!</v>
      </c>
      <c r="M180" s="12">
        <v>0.98</v>
      </c>
      <c r="N180" s="6">
        <v>50.0</v>
      </c>
      <c r="O180" s="6">
        <v>4.0</v>
      </c>
      <c r="P180" s="6">
        <v>2.0</v>
      </c>
      <c r="Q180" s="6">
        <v>0.0</v>
      </c>
      <c r="R180" s="6">
        <v>0.0</v>
      </c>
    </row>
    <row r="181" ht="22.5" customHeight="1">
      <c r="A181" s="7" t="s">
        <v>411</v>
      </c>
      <c r="B181" s="30" t="s">
        <v>85</v>
      </c>
      <c r="C181" s="31">
        <v>2.0</v>
      </c>
      <c r="D181" s="31"/>
      <c r="E181" s="31" t="s">
        <v>71</v>
      </c>
      <c r="F181" s="31">
        <v>6.0</v>
      </c>
      <c r="G181" s="9"/>
      <c r="H181" s="1" t="str">
        <f t="shared" si="2"/>
        <v>#REF!</v>
      </c>
      <c r="I181" s="10" t="str">
        <f>IFERROR(__xludf.DUMMYFUNCTION("if(or(L181=0),"""",IFERROR(TEXTJOIN("", "",
  TRUE,
  FILTER(
    TRIM(SPLIT(G181, "","")),
    MAP(
      TRIM(SPLIT(G181, "","")),
      LAMBDA(clave,
        COUNTIF('Asignaturas2026-2'!B:B, clave )&gt;0
      )
    )
  )
)))"),"#REF!")</f>
        <v>#REF!</v>
      </c>
      <c r="J181" s="11" t="s">
        <v>371</v>
      </c>
      <c r="K181" s="6" t="str">
        <f t="shared" si="3"/>
        <v>#REF!</v>
      </c>
      <c r="L181" s="6" t="str">
        <f t="shared" si="4"/>
        <v>#REF!</v>
      </c>
      <c r="M181" s="12">
        <v>1.0</v>
      </c>
      <c r="N181" s="6">
        <v>25.0</v>
      </c>
      <c r="O181" s="6">
        <v>4.0</v>
      </c>
      <c r="P181" s="6">
        <v>0.0</v>
      </c>
      <c r="Q181" s="6">
        <v>2.0</v>
      </c>
      <c r="R181" s="6">
        <v>0.0</v>
      </c>
    </row>
    <row r="182" ht="22.5" customHeight="1">
      <c r="A182" s="7" t="s">
        <v>412</v>
      </c>
      <c r="B182" s="30" t="s">
        <v>413</v>
      </c>
      <c r="C182" s="31">
        <v>3.0</v>
      </c>
      <c r="D182" s="31"/>
      <c r="E182" s="31" t="s">
        <v>414</v>
      </c>
      <c r="F182" s="31">
        <v>6.0</v>
      </c>
      <c r="G182" s="9"/>
      <c r="H182" s="1" t="str">
        <f t="shared" si="2"/>
        <v>#REF!</v>
      </c>
      <c r="I182" s="10" t="str">
        <f>IFERROR(__xludf.DUMMYFUNCTION("if(or(L182=0),"""",IFERROR(TEXTJOIN("", "",
  TRUE,
  FILTER(
    TRIM(SPLIT(G182, "","")),
    MAP(
      TRIM(SPLIT(G182, "","")),
      LAMBDA(clave,
        COUNTIF('Asignaturas2026-2'!B:B, clave )&gt;0
      )
    )
  )
)))"),"#REF!")</f>
        <v>#REF!</v>
      </c>
      <c r="J182" s="11" t="s">
        <v>371</v>
      </c>
      <c r="K182" s="6" t="str">
        <f t="shared" si="3"/>
        <v>#REF!</v>
      </c>
      <c r="L182" s="6" t="str">
        <f t="shared" si="4"/>
        <v>#REF!</v>
      </c>
      <c r="M182" s="12">
        <v>1.0</v>
      </c>
      <c r="N182" s="6">
        <v>50.0</v>
      </c>
      <c r="O182" s="6">
        <v>2.0</v>
      </c>
      <c r="P182" s="6">
        <v>1.0</v>
      </c>
      <c r="Q182" s="6">
        <v>2.0</v>
      </c>
      <c r="R182" s="6">
        <v>0.0</v>
      </c>
    </row>
    <row r="183" ht="22.5" customHeight="1">
      <c r="A183" s="7" t="s">
        <v>415</v>
      </c>
      <c r="B183" s="30" t="s">
        <v>198</v>
      </c>
      <c r="C183" s="31">
        <v>3.0</v>
      </c>
      <c r="D183" s="31"/>
      <c r="E183" s="31" t="s">
        <v>410</v>
      </c>
      <c r="F183" s="31">
        <v>6.0</v>
      </c>
      <c r="G183" s="9"/>
      <c r="H183" s="1" t="str">
        <f t="shared" si="2"/>
        <v>#REF!</v>
      </c>
      <c r="I183" s="10" t="str">
        <f>IFERROR(__xludf.DUMMYFUNCTION("if(or(L183=0),"""",IFERROR(TEXTJOIN("", "",
  TRUE,
  FILTER(
    TRIM(SPLIT(G183, "","")),
    MAP(
      TRIM(SPLIT(G183, "","")),
      LAMBDA(clave,
        COUNTIF('Asignaturas2026-2'!B:B, clave )&gt;0
      )
    )
  )
)))"),"#REF!")</f>
        <v>#REF!</v>
      </c>
      <c r="J183" s="11" t="s">
        <v>371</v>
      </c>
      <c r="K183" s="6" t="str">
        <f t="shared" si="3"/>
        <v>#REF!</v>
      </c>
      <c r="L183" s="6" t="str">
        <f t="shared" si="4"/>
        <v>#REF!</v>
      </c>
      <c r="M183" s="12">
        <v>1.0</v>
      </c>
      <c r="N183" s="6">
        <v>50.0</v>
      </c>
      <c r="O183" s="6">
        <v>2.0</v>
      </c>
      <c r="P183" s="6">
        <v>0.0</v>
      </c>
      <c r="Q183" s="6">
        <v>2.0</v>
      </c>
      <c r="R183" s="6">
        <v>0.0</v>
      </c>
    </row>
    <row r="184" ht="22.5" customHeight="1">
      <c r="A184" s="7" t="s">
        <v>416</v>
      </c>
      <c r="B184" s="30" t="s">
        <v>182</v>
      </c>
      <c r="C184" s="31">
        <v>4.0</v>
      </c>
      <c r="D184" s="31"/>
      <c r="E184" s="23" t="s">
        <v>408</v>
      </c>
      <c r="F184" s="31">
        <v>6.0</v>
      </c>
      <c r="G184" s="9" t="s">
        <v>417</v>
      </c>
      <c r="H184" s="1" t="str">
        <f t="shared" si="2"/>
        <v>#REF!</v>
      </c>
      <c r="I184" s="10" t="str">
        <f>IFERROR(__xludf.DUMMYFUNCTION("if(or(L184=0),"""",IFERROR(TEXTJOIN("", "",
  TRUE,
  FILTER(
    TRIM(SPLIT(G184, "","")),
    MAP(
      TRIM(SPLIT(G184, "","")),
      LAMBDA(clave,
        COUNTIF('Asignaturas2026-2'!B:B, clave )&gt;0
      )
    )
  )
)))"),"#REF!")</f>
        <v>#REF!</v>
      </c>
      <c r="J184" s="11" t="s">
        <v>371</v>
      </c>
      <c r="K184" s="6" t="str">
        <f t="shared" si="3"/>
        <v>#REF!</v>
      </c>
      <c r="L184" s="6" t="str">
        <f t="shared" si="4"/>
        <v>#REF!</v>
      </c>
      <c r="M184" s="12">
        <v>1.0</v>
      </c>
      <c r="N184" s="6">
        <v>30.0</v>
      </c>
      <c r="O184" s="6">
        <v>4.0</v>
      </c>
      <c r="P184" s="6">
        <v>2.0</v>
      </c>
      <c r="Q184" s="6">
        <v>0.0</v>
      </c>
      <c r="R184" s="6">
        <v>0.0</v>
      </c>
    </row>
    <row r="185" ht="22.5" customHeight="1">
      <c r="A185" s="7" t="s">
        <v>418</v>
      </c>
      <c r="B185" s="30" t="s">
        <v>188</v>
      </c>
      <c r="C185" s="31">
        <v>4.0</v>
      </c>
      <c r="D185" s="31"/>
      <c r="E185" s="31" t="s">
        <v>409</v>
      </c>
      <c r="F185" s="31">
        <v>6.0</v>
      </c>
      <c r="G185" s="9"/>
      <c r="H185" s="1" t="str">
        <f t="shared" si="2"/>
        <v>#REF!</v>
      </c>
      <c r="I185" s="10" t="str">
        <f>IFERROR(__xludf.DUMMYFUNCTION("if(or(L185=0),"""",IFERROR(TEXTJOIN("", "",
  TRUE,
  FILTER(
    TRIM(SPLIT(G185, "","")),
    MAP(
      TRIM(SPLIT(G185, "","")),
      LAMBDA(clave,
        COUNTIF('Asignaturas2026-2'!B:B, clave )&gt;0
      )
    )
  )
)))"),"#REF!")</f>
        <v>#REF!</v>
      </c>
      <c r="J185" s="11" t="s">
        <v>371</v>
      </c>
      <c r="K185" s="6" t="str">
        <f t="shared" si="3"/>
        <v>#REF!</v>
      </c>
      <c r="L185" s="6" t="str">
        <f t="shared" si="4"/>
        <v>#REF!</v>
      </c>
      <c r="M185" s="12">
        <v>1.0</v>
      </c>
      <c r="N185" s="6">
        <v>50.0</v>
      </c>
      <c r="O185" s="6">
        <v>4.0</v>
      </c>
      <c r="P185" s="6">
        <v>2.0</v>
      </c>
      <c r="Q185" s="6">
        <v>0.0</v>
      </c>
      <c r="R185" s="6">
        <v>0.0</v>
      </c>
    </row>
    <row r="186" ht="22.5" customHeight="1">
      <c r="A186" s="7" t="s">
        <v>419</v>
      </c>
      <c r="B186" s="30" t="s">
        <v>100</v>
      </c>
      <c r="C186" s="31">
        <v>2.0</v>
      </c>
      <c r="D186" s="31"/>
      <c r="E186" s="31" t="s">
        <v>84</v>
      </c>
      <c r="F186" s="31">
        <v>7.0</v>
      </c>
      <c r="G186" s="9"/>
      <c r="H186" s="1" t="str">
        <f t="shared" si="2"/>
        <v>#REF!</v>
      </c>
      <c r="I186" s="10" t="str">
        <f>IFERROR(__xludf.DUMMYFUNCTION("if(or(L186=0),"""",IFERROR(TEXTJOIN("", "",
  TRUE,
  FILTER(
    TRIM(SPLIT(G186, "","")),
    MAP(
      TRIM(SPLIT(G186, "","")),
      LAMBDA(clave,
        COUNTIF('Asignaturas2026-2'!B:B, clave )&gt;0
      )
    )
  )
)))"),"#REF!")</f>
        <v>#REF!</v>
      </c>
      <c r="J186" s="11" t="s">
        <v>371</v>
      </c>
      <c r="K186" s="6" t="str">
        <f t="shared" si="3"/>
        <v>#REF!</v>
      </c>
      <c r="L186" s="6" t="str">
        <f t="shared" si="4"/>
        <v>#REF!</v>
      </c>
      <c r="M186" s="12">
        <v>1.0</v>
      </c>
      <c r="N186" s="6">
        <v>25.0</v>
      </c>
      <c r="O186" s="6">
        <v>4.0</v>
      </c>
      <c r="P186" s="6">
        <v>0.0</v>
      </c>
      <c r="Q186" s="6">
        <v>2.0</v>
      </c>
      <c r="R186" s="6">
        <v>0.0</v>
      </c>
    </row>
    <row r="187" ht="22.5" customHeight="1">
      <c r="A187" s="7" t="s">
        <v>420</v>
      </c>
      <c r="B187" s="30" t="s">
        <v>196</v>
      </c>
      <c r="C187" s="31">
        <v>4.0</v>
      </c>
      <c r="D187" s="31"/>
      <c r="E187" s="31" t="s">
        <v>421</v>
      </c>
      <c r="F187" s="31">
        <v>7.0</v>
      </c>
      <c r="G187" s="9"/>
      <c r="H187" s="1" t="str">
        <f t="shared" si="2"/>
        <v>#REF!</v>
      </c>
      <c r="I187" s="10" t="str">
        <f>IFERROR(__xludf.DUMMYFUNCTION("if(or(L187=0),"""",IFERROR(TEXTJOIN("", "",
  TRUE,
  FILTER(
    TRIM(SPLIT(G187, "","")),
    MAP(
      TRIM(SPLIT(G187, "","")),
      LAMBDA(clave,
        COUNTIF('Asignaturas2026-2'!B:B, clave )&gt;0
      )
    )
  )
)))"),"#REF!")</f>
        <v>#REF!</v>
      </c>
      <c r="J187" s="11" t="s">
        <v>371</v>
      </c>
      <c r="K187" s="6" t="str">
        <f t="shared" si="3"/>
        <v>#REF!</v>
      </c>
      <c r="L187" s="6" t="str">
        <f t="shared" si="4"/>
        <v>#REF!</v>
      </c>
      <c r="M187" s="12">
        <v>1.0</v>
      </c>
      <c r="N187" s="6">
        <v>50.0</v>
      </c>
      <c r="O187" s="6">
        <v>2.0</v>
      </c>
      <c r="P187" s="6">
        <v>2.0</v>
      </c>
      <c r="Q187" s="6">
        <v>2.0</v>
      </c>
      <c r="R187" s="6">
        <v>0.0</v>
      </c>
    </row>
    <row r="188" ht="22.5" customHeight="1">
      <c r="A188" s="7" t="s">
        <v>422</v>
      </c>
      <c r="B188" s="30" t="s">
        <v>206</v>
      </c>
      <c r="C188" s="31">
        <v>4.0</v>
      </c>
      <c r="D188" s="31"/>
      <c r="E188" s="23" t="s">
        <v>423</v>
      </c>
      <c r="F188" s="31">
        <v>7.0</v>
      </c>
      <c r="G188" s="9"/>
      <c r="H188" s="1" t="str">
        <f t="shared" si="2"/>
        <v>#REF!</v>
      </c>
      <c r="I188" s="10" t="str">
        <f>IFERROR(__xludf.DUMMYFUNCTION("if(or(L188=0),"""",IFERROR(TEXTJOIN("", "",
  TRUE,
  FILTER(
    TRIM(SPLIT(G188, "","")),
    MAP(
      TRIM(SPLIT(G188, "","")),
      LAMBDA(clave,
        COUNTIF('Asignaturas2026-2'!B:B, clave )&gt;0
      )
    )
  )
)))"),"#REF!")</f>
        <v>#REF!</v>
      </c>
      <c r="J188" s="11" t="s">
        <v>371</v>
      </c>
      <c r="K188" s="6" t="str">
        <f t="shared" si="3"/>
        <v>#REF!</v>
      </c>
      <c r="L188" s="6" t="str">
        <f t="shared" si="4"/>
        <v>#REF!</v>
      </c>
      <c r="M188" s="12">
        <v>1.0</v>
      </c>
      <c r="N188" s="6">
        <v>50.0</v>
      </c>
      <c r="O188" s="6">
        <v>2.0</v>
      </c>
      <c r="P188" s="6">
        <v>2.0</v>
      </c>
      <c r="Q188" s="6">
        <v>2.0</v>
      </c>
      <c r="R188" s="6">
        <v>0.0</v>
      </c>
    </row>
    <row r="189" ht="22.5" customHeight="1">
      <c r="A189" s="7" t="s">
        <v>424</v>
      </c>
      <c r="B189" s="30" t="s">
        <v>208</v>
      </c>
      <c r="C189" s="31">
        <v>4.0</v>
      </c>
      <c r="D189" s="31"/>
      <c r="E189" s="31" t="s">
        <v>406</v>
      </c>
      <c r="F189" s="31">
        <v>7.0</v>
      </c>
      <c r="G189" s="9" t="s">
        <v>425</v>
      </c>
      <c r="H189" s="1" t="str">
        <f t="shared" si="2"/>
        <v>#REF!</v>
      </c>
      <c r="I189" s="10" t="str">
        <f>IFERROR(__xludf.DUMMYFUNCTION("if(or(L189=0),"""",IFERROR(TEXTJOIN("", "",
  TRUE,
  FILTER(
    TRIM(SPLIT(G189, "","")),
    MAP(
      TRIM(SPLIT(G189, "","")),
      LAMBDA(clave,
        COUNTIF('Asignaturas2026-2'!B:B, clave )&gt;0
      )
    )
  )
)))"),"#REF!")</f>
        <v>#REF!</v>
      </c>
      <c r="J189" s="11" t="s">
        <v>371</v>
      </c>
      <c r="K189" s="6" t="str">
        <f t="shared" si="3"/>
        <v>#REF!</v>
      </c>
      <c r="L189" s="6" t="str">
        <f t="shared" si="4"/>
        <v>#REF!</v>
      </c>
      <c r="M189" s="12">
        <v>0.98</v>
      </c>
      <c r="N189" s="6">
        <v>50.0</v>
      </c>
      <c r="O189" s="6">
        <v>2.0</v>
      </c>
      <c r="P189" s="6">
        <v>2.0</v>
      </c>
      <c r="Q189" s="25">
        <v>2.0</v>
      </c>
      <c r="R189" s="6">
        <v>0.0</v>
      </c>
    </row>
    <row r="190" ht="22.5" customHeight="1">
      <c r="A190" s="7" t="s">
        <v>426</v>
      </c>
      <c r="B190" s="30" t="s">
        <v>142</v>
      </c>
      <c r="C190" s="31">
        <v>4.0</v>
      </c>
      <c r="D190" s="37"/>
      <c r="E190" s="37" t="s">
        <v>427</v>
      </c>
      <c r="F190" s="31">
        <v>7.0</v>
      </c>
      <c r="G190" s="9"/>
      <c r="H190" s="1" t="str">
        <f t="shared" si="2"/>
        <v>#REF!</v>
      </c>
      <c r="I190" s="10" t="str">
        <f>IFERROR(__xludf.DUMMYFUNCTION("if(or(L190=0),"""",IFERROR(TEXTJOIN("", "",
  TRUE,
  FILTER(
    TRIM(SPLIT(G190, "","")),
    MAP(
      TRIM(SPLIT(G190, "","")),
      LAMBDA(clave,
        COUNTIF('Asignaturas2026-2'!B:B, clave )&gt;0
      )
    )
  )
)))"),"#REF!")</f>
        <v>#REF!</v>
      </c>
      <c r="J190" s="11" t="s">
        <v>371</v>
      </c>
      <c r="K190" s="6" t="str">
        <f t="shared" si="3"/>
        <v>#REF!</v>
      </c>
      <c r="L190" s="6" t="str">
        <f t="shared" si="4"/>
        <v>#REF!</v>
      </c>
      <c r="M190" s="12">
        <v>1.0</v>
      </c>
      <c r="N190" s="6">
        <v>5.0</v>
      </c>
      <c r="O190" s="6">
        <v>0.0</v>
      </c>
      <c r="P190" s="6">
        <v>0.0</v>
      </c>
      <c r="Q190" s="6">
        <v>0.0</v>
      </c>
      <c r="R190" s="6">
        <v>0.0</v>
      </c>
    </row>
    <row r="191" ht="22.5" customHeight="1">
      <c r="A191" s="7" t="s">
        <v>428</v>
      </c>
      <c r="B191" s="30" t="s">
        <v>137</v>
      </c>
      <c r="C191" s="38">
        <v>3.0</v>
      </c>
      <c r="D191" s="39"/>
      <c r="E191" s="40" t="s">
        <v>406</v>
      </c>
      <c r="F191" s="41">
        <v>8.0</v>
      </c>
      <c r="G191" s="9" t="s">
        <v>429</v>
      </c>
      <c r="H191" s="1" t="str">
        <f t="shared" si="2"/>
        <v>#REF!</v>
      </c>
      <c r="I191" s="10" t="str">
        <f>IFERROR(__xludf.DUMMYFUNCTION("if(or(L191=0),"""",IFERROR(TEXTJOIN("", "",
  TRUE,
  FILTER(
    TRIM(SPLIT(G191, "","")),
    MAP(
      TRIM(SPLIT(G191, "","")),
      LAMBDA(clave,
        COUNTIF('Asignaturas2026-2'!B:B, clave )&gt;0
      )
    )
  )
)))"),"#REF!")</f>
        <v>#REF!</v>
      </c>
      <c r="J191" s="11" t="s">
        <v>371</v>
      </c>
      <c r="K191" s="6" t="str">
        <f t="shared" si="3"/>
        <v>#REF!</v>
      </c>
      <c r="L191" s="6" t="str">
        <f t="shared" si="4"/>
        <v>#REF!</v>
      </c>
      <c r="M191" s="12">
        <v>1.0</v>
      </c>
      <c r="N191" s="6">
        <v>50.0</v>
      </c>
      <c r="O191" s="6">
        <v>4.0</v>
      </c>
      <c r="P191" s="6">
        <v>0.0</v>
      </c>
      <c r="Q191" s="6">
        <v>0.0</v>
      </c>
      <c r="R191" s="6">
        <v>0.0</v>
      </c>
    </row>
    <row r="192" ht="22.5" customHeight="1">
      <c r="A192" s="7" t="s">
        <v>430</v>
      </c>
      <c r="B192" s="30" t="s">
        <v>431</v>
      </c>
      <c r="C192" s="38">
        <v>3.0</v>
      </c>
      <c r="D192" s="39"/>
      <c r="E192" s="40" t="s">
        <v>406</v>
      </c>
      <c r="F192" s="41">
        <v>8.0</v>
      </c>
      <c r="G192" s="9"/>
      <c r="H192" s="1" t="str">
        <f t="shared" si="2"/>
        <v>#REF!</v>
      </c>
      <c r="I192" s="10" t="str">
        <f>IFERROR(__xludf.DUMMYFUNCTION("if(or(L192=0),"""",IFERROR(TEXTJOIN("", "",
  TRUE,
  FILTER(
    TRIM(SPLIT(G192, "","")),
    MAP(
      TRIM(SPLIT(G192, "","")),
      LAMBDA(clave,
        COUNTIF('Asignaturas2026-2'!B:B, clave )&gt;0
      )
    )
  )
)))"),"#REF!")</f>
        <v>#REF!</v>
      </c>
      <c r="J192" s="11" t="s">
        <v>371</v>
      </c>
      <c r="K192" s="6" t="str">
        <f t="shared" si="3"/>
        <v>#REF!</v>
      </c>
      <c r="L192" s="6" t="str">
        <f t="shared" si="4"/>
        <v>#REF!</v>
      </c>
      <c r="M192" s="12">
        <v>1.0</v>
      </c>
      <c r="N192" s="6">
        <v>50.0</v>
      </c>
      <c r="O192" s="6">
        <v>4.0</v>
      </c>
      <c r="P192" s="6">
        <v>0.0</v>
      </c>
      <c r="Q192" s="6">
        <v>0.0</v>
      </c>
      <c r="R192" s="6">
        <v>0.0</v>
      </c>
    </row>
    <row r="193" ht="22.5" customHeight="1">
      <c r="A193" s="7" t="s">
        <v>432</v>
      </c>
      <c r="B193" s="30" t="s">
        <v>146</v>
      </c>
      <c r="C193" s="31">
        <v>10.0</v>
      </c>
      <c r="D193" s="42"/>
      <c r="E193" s="42" t="s">
        <v>433</v>
      </c>
      <c r="F193" s="31">
        <v>8.0</v>
      </c>
      <c r="G193" s="9"/>
      <c r="H193" s="1" t="str">
        <f t="shared" si="2"/>
        <v>#REF!</v>
      </c>
      <c r="I193" s="10" t="str">
        <f>IFERROR(__xludf.DUMMYFUNCTION("if(or(L193=0),"""",IFERROR(TEXTJOIN("", "",
  TRUE,
  FILTER(
    TRIM(SPLIT(G193, "","")),
    MAP(
      TRIM(SPLIT(G193, "","")),
      LAMBDA(clave,
        COUNTIF('Asignaturas2026-2'!B:B, clave )&gt;0
      )
    )
  )
)))"),"#REF!")</f>
        <v>#REF!</v>
      </c>
      <c r="J193" s="11" t="s">
        <v>371</v>
      </c>
      <c r="K193" s="6" t="str">
        <f t="shared" si="3"/>
        <v>#REF!</v>
      </c>
      <c r="L193" s="6" t="str">
        <f t="shared" si="4"/>
        <v>#REF!</v>
      </c>
      <c r="M193" s="12">
        <v>1.0</v>
      </c>
      <c r="N193" s="6">
        <v>5.0</v>
      </c>
      <c r="O193" s="6">
        <v>0.0</v>
      </c>
      <c r="P193" s="6">
        <v>0.0</v>
      </c>
      <c r="Q193" s="6">
        <v>0.0</v>
      </c>
      <c r="R193" s="6">
        <v>0.0</v>
      </c>
    </row>
    <row r="194" ht="22.5" customHeight="1">
      <c r="A194" s="7" t="s">
        <v>434</v>
      </c>
      <c r="B194" s="30" t="s">
        <v>152</v>
      </c>
      <c r="C194" s="31">
        <v>2.0</v>
      </c>
      <c r="D194" s="31"/>
      <c r="E194" s="32"/>
      <c r="F194" s="31">
        <v>1.0</v>
      </c>
      <c r="G194" s="19" t="s">
        <v>435</v>
      </c>
      <c r="H194" s="1" t="str">
        <f t="shared" si="2"/>
        <v>#REF!</v>
      </c>
      <c r="I194" s="10" t="str">
        <f>IFERROR(__xludf.DUMMYFUNCTION("if(or(L194=0),"""",IFERROR(TEXTJOIN("", "",
  TRUE,
  FILTER(
    TRIM(SPLIT(G194, "","")),
    MAP(
      TRIM(SPLIT(G194, "","")),
      LAMBDA(clave,
        COUNTIF('Asignaturas2026-2'!B:B, clave )&gt;0
      )
    )
  )
)))"),"#REF!")</f>
        <v>#REF!</v>
      </c>
      <c r="J194" s="11" t="s">
        <v>436</v>
      </c>
      <c r="K194" s="6" t="str">
        <f t="shared" si="3"/>
        <v>#REF!</v>
      </c>
      <c r="L194" s="6" t="str">
        <f t="shared" si="4"/>
        <v>#REF!</v>
      </c>
      <c r="M194" s="12">
        <v>1.0</v>
      </c>
      <c r="N194" s="6" t="e">
        <v>#N/A</v>
      </c>
      <c r="O194" s="6" t="e">
        <v>#N/A</v>
      </c>
      <c r="P194" s="6" t="e">
        <v>#N/A</v>
      </c>
      <c r="Q194" s="6" t="e">
        <v>#N/A</v>
      </c>
      <c r="R194" s="6" t="e">
        <v>#N/A</v>
      </c>
    </row>
    <row r="195" ht="22.5" customHeight="1">
      <c r="A195" s="7" t="s">
        <v>437</v>
      </c>
      <c r="B195" s="30" t="s">
        <v>438</v>
      </c>
      <c r="C195" s="31">
        <v>3.0</v>
      </c>
      <c r="D195" s="31"/>
      <c r="E195" s="32"/>
      <c r="F195" s="33">
        <v>1.0</v>
      </c>
      <c r="G195" s="43" t="s">
        <v>439</v>
      </c>
      <c r="H195" s="1" t="str">
        <f t="shared" si="2"/>
        <v>#REF!</v>
      </c>
      <c r="I195" s="10" t="str">
        <f>IFERROR(__xludf.DUMMYFUNCTION("if(or(L195=0),"""",IFERROR(TEXTJOIN("", "",
  TRUE,
  FILTER(
    TRIM(SPLIT(G195, "","")),
    MAP(
      TRIM(SPLIT(G195, "","")),
      LAMBDA(clave,
        COUNTIF('Asignaturas2026-2'!B:B, clave )&gt;0
      )
    )
  )
)))"),"#REF!")</f>
        <v>#REF!</v>
      </c>
      <c r="J195" s="11" t="s">
        <v>436</v>
      </c>
      <c r="K195" s="6" t="str">
        <f t="shared" si="3"/>
        <v>#REF!</v>
      </c>
      <c r="L195" s="6" t="str">
        <f t="shared" si="4"/>
        <v>#REF!</v>
      </c>
      <c r="M195" s="12">
        <v>1.0</v>
      </c>
      <c r="N195" s="6" t="e">
        <v>#N/A</v>
      </c>
      <c r="O195" s="6" t="e">
        <v>#N/A</v>
      </c>
      <c r="P195" s="6" t="e">
        <v>#N/A</v>
      </c>
      <c r="Q195" s="6" t="e">
        <v>#N/A</v>
      </c>
      <c r="R195" s="6" t="e">
        <v>#N/A</v>
      </c>
    </row>
    <row r="196" ht="22.5" customHeight="1">
      <c r="A196" s="7" t="s">
        <v>440</v>
      </c>
      <c r="B196" s="30" t="s">
        <v>23</v>
      </c>
      <c r="C196" s="31">
        <v>4.0</v>
      </c>
      <c r="D196" s="31"/>
      <c r="E196" s="32"/>
      <c r="F196" s="31">
        <v>1.0</v>
      </c>
      <c r="G196" s="19" t="s">
        <v>441</v>
      </c>
      <c r="H196" s="1" t="str">
        <f t="shared" si="2"/>
        <v>#REF!</v>
      </c>
      <c r="I196" s="10" t="str">
        <f>IFERROR(__xludf.DUMMYFUNCTION("if(or(L196=0),"""",IFERROR(TEXTJOIN("", "",
  TRUE,
  FILTER(
    TRIM(SPLIT(G196, "","")),
    MAP(
      TRIM(SPLIT(G196, "","")),
      LAMBDA(clave,
        COUNTIF('Asignaturas2026-2'!B:B, clave )&gt;0
      )
    )
  )
)))"),"#REF!")</f>
        <v>#REF!</v>
      </c>
      <c r="J196" s="11" t="s">
        <v>436</v>
      </c>
      <c r="K196" s="6" t="str">
        <f t="shared" si="3"/>
        <v>#REF!</v>
      </c>
      <c r="L196" s="6" t="str">
        <f t="shared" si="4"/>
        <v>#REF!</v>
      </c>
      <c r="M196" s="12">
        <v>1.0</v>
      </c>
      <c r="N196" s="6" t="e">
        <v>#N/A</v>
      </c>
      <c r="O196" s="6" t="e">
        <v>#N/A</v>
      </c>
      <c r="P196" s="6" t="e">
        <v>#N/A</v>
      </c>
      <c r="Q196" s="6" t="e">
        <v>#N/A</v>
      </c>
      <c r="R196" s="6" t="e">
        <v>#N/A</v>
      </c>
    </row>
    <row r="197" ht="22.5" customHeight="1">
      <c r="A197" s="7" t="s">
        <v>442</v>
      </c>
      <c r="B197" s="30" t="s">
        <v>227</v>
      </c>
      <c r="C197" s="31">
        <v>5.0</v>
      </c>
      <c r="D197" s="31"/>
      <c r="E197" s="32"/>
      <c r="F197" s="31">
        <v>1.0</v>
      </c>
      <c r="G197" s="19" t="s">
        <v>443</v>
      </c>
      <c r="H197" s="1" t="str">
        <f t="shared" si="2"/>
        <v>#REF!</v>
      </c>
      <c r="I197" s="10" t="str">
        <f>IFERROR(__xludf.DUMMYFUNCTION("if(or(L197=0),"""",IFERROR(TEXTJOIN("", "",
  TRUE,
  FILTER(
    TRIM(SPLIT(G197, "","")),
    MAP(
      TRIM(SPLIT(G197, "","")),
      LAMBDA(clave,
        COUNTIF('Asignaturas2026-2'!B:B, clave )&gt;0
      )
    )
  )
)))"),"#REF!")</f>
        <v>#REF!</v>
      </c>
      <c r="J197" s="11" t="s">
        <v>436</v>
      </c>
      <c r="K197" s="6" t="str">
        <f t="shared" si="3"/>
        <v>#REF!</v>
      </c>
      <c r="L197" s="6" t="str">
        <f t="shared" si="4"/>
        <v>#REF!</v>
      </c>
      <c r="M197" s="12">
        <v>1.0</v>
      </c>
      <c r="N197" s="6" t="e">
        <v>#N/A</v>
      </c>
      <c r="O197" s="6" t="e">
        <v>#N/A</v>
      </c>
      <c r="P197" s="6" t="e">
        <v>#N/A</v>
      </c>
      <c r="Q197" s="6" t="e">
        <v>#N/A</v>
      </c>
      <c r="R197" s="6" t="e">
        <v>#N/A</v>
      </c>
    </row>
    <row r="198" ht="22.5" customHeight="1">
      <c r="A198" s="7" t="s">
        <v>444</v>
      </c>
      <c r="B198" s="30" t="s">
        <v>222</v>
      </c>
      <c r="C198" s="31">
        <v>3.0</v>
      </c>
      <c r="D198" s="31"/>
      <c r="E198" s="32"/>
      <c r="F198" s="31">
        <v>2.0</v>
      </c>
      <c r="G198" s="19" t="s">
        <v>445</v>
      </c>
      <c r="H198" s="1" t="str">
        <f t="shared" si="2"/>
        <v>#REF!</v>
      </c>
      <c r="I198" s="10" t="str">
        <f>IFERROR(__xludf.DUMMYFUNCTION("if(or(L198=0),"""",IFERROR(TEXTJOIN("", "",
  TRUE,
  FILTER(
    TRIM(SPLIT(G198, "","")),
    MAP(
      TRIM(SPLIT(G198, "","")),
      LAMBDA(clave,
        COUNTIF('Asignaturas2026-2'!B:B, clave )&gt;0
      )
    )
  )
)))"),"#REF!")</f>
        <v>#REF!</v>
      </c>
      <c r="J198" s="11" t="s">
        <v>436</v>
      </c>
      <c r="K198" s="6" t="str">
        <f t="shared" si="3"/>
        <v>#REF!</v>
      </c>
      <c r="L198" s="6" t="str">
        <f t="shared" si="4"/>
        <v>#REF!</v>
      </c>
      <c r="M198" s="12">
        <v>1.0</v>
      </c>
      <c r="N198" s="6" t="e">
        <v>#N/A</v>
      </c>
      <c r="O198" s="6" t="e">
        <v>#N/A</v>
      </c>
      <c r="P198" s="6" t="e">
        <v>#N/A</v>
      </c>
      <c r="Q198" s="6" t="e">
        <v>#N/A</v>
      </c>
      <c r="R198" s="6" t="e">
        <v>#N/A</v>
      </c>
    </row>
    <row r="199" ht="22.5" customHeight="1">
      <c r="A199" s="7" t="s">
        <v>446</v>
      </c>
      <c r="B199" s="30" t="s">
        <v>35</v>
      </c>
      <c r="C199" s="31">
        <v>4.0</v>
      </c>
      <c r="D199" s="31"/>
      <c r="E199" s="31" t="s">
        <v>447</v>
      </c>
      <c r="F199" s="31">
        <v>2.0</v>
      </c>
      <c r="G199" s="19" t="s">
        <v>448</v>
      </c>
      <c r="H199" s="1" t="str">
        <f t="shared" si="2"/>
        <v>#REF!</v>
      </c>
      <c r="I199" s="10" t="str">
        <f>IFERROR(__xludf.DUMMYFUNCTION("if(or(L199=0),"""",IFERROR(TEXTJOIN("", "",
  TRUE,
  FILTER(
    TRIM(SPLIT(G199, "","")),
    MAP(
      TRIM(SPLIT(G199, "","")),
      LAMBDA(clave,
        COUNTIF('Asignaturas2026-2'!B:B, clave )&gt;0
      )
    )
  )
)))"),"#REF!")</f>
        <v>#REF!</v>
      </c>
      <c r="J199" s="11" t="s">
        <v>436</v>
      </c>
      <c r="K199" s="6" t="str">
        <f t="shared" si="3"/>
        <v>#REF!</v>
      </c>
      <c r="L199" s="6" t="str">
        <f t="shared" si="4"/>
        <v>#REF!</v>
      </c>
      <c r="M199" s="12">
        <v>1.0</v>
      </c>
      <c r="N199" s="6" t="e">
        <v>#N/A</v>
      </c>
      <c r="O199" s="6" t="e">
        <v>#N/A</v>
      </c>
      <c r="P199" s="6" t="e">
        <v>#N/A</v>
      </c>
      <c r="Q199" s="6" t="e">
        <v>#N/A</v>
      </c>
      <c r="R199" s="6" t="e">
        <v>#N/A</v>
      </c>
    </row>
    <row r="200" ht="22.5" customHeight="1">
      <c r="A200" s="7" t="s">
        <v>449</v>
      </c>
      <c r="B200" s="30" t="s">
        <v>450</v>
      </c>
      <c r="C200" s="31">
        <v>4.0</v>
      </c>
      <c r="D200" s="31"/>
      <c r="E200" s="31" t="s">
        <v>451</v>
      </c>
      <c r="F200" s="31">
        <v>2.0</v>
      </c>
      <c r="G200" s="19" t="s">
        <v>452</v>
      </c>
      <c r="H200" s="1" t="str">
        <f t="shared" si="2"/>
        <v>#REF!</v>
      </c>
      <c r="I200" s="10" t="str">
        <f>IFERROR(__xludf.DUMMYFUNCTION("if(or(L200=0),"""",IFERROR(TEXTJOIN("", "",
  TRUE,
  FILTER(
    TRIM(SPLIT(G200, "","")),
    MAP(
      TRIM(SPLIT(G200, "","")),
      LAMBDA(clave,
        COUNTIF('Asignaturas2026-2'!B:B, clave )&gt;0
      )
    )
  )
)))"),"#REF!")</f>
        <v>#REF!</v>
      </c>
      <c r="J200" s="11" t="s">
        <v>436</v>
      </c>
      <c r="K200" s="6" t="str">
        <f t="shared" si="3"/>
        <v>#REF!</v>
      </c>
      <c r="L200" s="6" t="str">
        <f t="shared" si="4"/>
        <v>#REF!</v>
      </c>
      <c r="M200" s="12">
        <v>1.0</v>
      </c>
      <c r="N200" s="6" t="e">
        <v>#N/A</v>
      </c>
      <c r="O200" s="6" t="e">
        <v>#N/A</v>
      </c>
      <c r="P200" s="6" t="e">
        <v>#N/A</v>
      </c>
      <c r="Q200" s="6" t="e">
        <v>#N/A</v>
      </c>
      <c r="R200" s="6" t="e">
        <v>#N/A</v>
      </c>
    </row>
    <row r="201" ht="22.5" customHeight="1">
      <c r="A201" s="7" t="s">
        <v>453</v>
      </c>
      <c r="B201" s="30" t="s">
        <v>454</v>
      </c>
      <c r="C201" s="31">
        <v>4.0</v>
      </c>
      <c r="D201" s="31"/>
      <c r="E201" s="31" t="s">
        <v>451</v>
      </c>
      <c r="F201" s="31">
        <v>2.0</v>
      </c>
      <c r="G201" s="19" t="s">
        <v>455</v>
      </c>
      <c r="H201" s="1" t="str">
        <f t="shared" si="2"/>
        <v>#REF!</v>
      </c>
      <c r="I201" s="10" t="str">
        <f>IFERROR(__xludf.DUMMYFUNCTION("if(or(L201=0),"""",IFERROR(TEXTJOIN("", "",
  TRUE,
  FILTER(
    TRIM(SPLIT(G201, "","")),
    MAP(
      TRIM(SPLIT(G201, "","")),
      LAMBDA(clave,
        COUNTIF('Asignaturas2026-2'!B:B, clave )&gt;0
      )
    )
  )
)))"),"#REF!")</f>
        <v>#REF!</v>
      </c>
      <c r="J201" s="11" t="s">
        <v>436</v>
      </c>
      <c r="K201" s="6" t="str">
        <f t="shared" si="3"/>
        <v>#REF!</v>
      </c>
      <c r="L201" s="6" t="str">
        <f t="shared" si="4"/>
        <v>#REF!</v>
      </c>
      <c r="M201" s="12">
        <v>1.0</v>
      </c>
      <c r="N201" s="6" t="e">
        <v>#N/A</v>
      </c>
      <c r="O201" s="6" t="e">
        <v>#N/A</v>
      </c>
      <c r="P201" s="6" t="e">
        <v>#N/A</v>
      </c>
      <c r="Q201" s="6" t="e">
        <v>#N/A</v>
      </c>
      <c r="R201" s="6" t="e">
        <v>#N/A</v>
      </c>
    </row>
    <row r="202" ht="22.5" customHeight="1">
      <c r="A202" s="7" t="s">
        <v>456</v>
      </c>
      <c r="B202" s="30" t="s">
        <v>457</v>
      </c>
      <c r="C202" s="31">
        <v>3.0</v>
      </c>
      <c r="D202" s="31"/>
      <c r="E202" s="31" t="s">
        <v>458</v>
      </c>
      <c r="F202" s="31">
        <v>3.0</v>
      </c>
      <c r="G202" s="19" t="s">
        <v>459</v>
      </c>
      <c r="H202" s="1" t="str">
        <f t="shared" si="2"/>
        <v>#REF!</v>
      </c>
      <c r="I202" s="10" t="str">
        <f>IFERROR(__xludf.DUMMYFUNCTION("if(or(L202=0),"""",IFERROR(TEXTJOIN("", "",
  TRUE,
  FILTER(
    TRIM(SPLIT(G202, "","")),
    MAP(
      TRIM(SPLIT(G202, "","")),
      LAMBDA(clave,
        COUNTIF('Asignaturas2026-2'!B:B, clave )&gt;0
      )
    )
  )
)))"),"#REF!")</f>
        <v>#REF!</v>
      </c>
      <c r="J202" s="11" t="s">
        <v>436</v>
      </c>
      <c r="K202" s="6" t="str">
        <f t="shared" si="3"/>
        <v>#REF!</v>
      </c>
      <c r="L202" s="6" t="str">
        <f t="shared" si="4"/>
        <v>#REF!</v>
      </c>
      <c r="M202" s="12">
        <v>1.0</v>
      </c>
      <c r="N202" s="6" t="e">
        <v>#N/A</v>
      </c>
      <c r="O202" s="6" t="e">
        <v>#N/A</v>
      </c>
      <c r="P202" s="6" t="e">
        <v>#N/A</v>
      </c>
      <c r="Q202" s="6" t="e">
        <v>#N/A</v>
      </c>
      <c r="R202" s="6" t="e">
        <v>#N/A</v>
      </c>
    </row>
    <row r="203" ht="22.5" customHeight="1">
      <c r="A203" s="7" t="s">
        <v>460</v>
      </c>
      <c r="B203" s="30" t="s">
        <v>102</v>
      </c>
      <c r="C203" s="31">
        <v>3.0</v>
      </c>
      <c r="D203" s="31"/>
      <c r="E203" s="32"/>
      <c r="F203" s="31">
        <v>3.0</v>
      </c>
      <c r="G203" s="19" t="s">
        <v>461</v>
      </c>
      <c r="H203" s="1" t="str">
        <f t="shared" si="2"/>
        <v>#REF!</v>
      </c>
      <c r="I203" s="10" t="str">
        <f>IFERROR(__xludf.DUMMYFUNCTION("if(or(L203=0),"""",IFERROR(TEXTJOIN("", "",
  TRUE,
  FILTER(
    TRIM(SPLIT(G203, "","")),
    MAP(
      TRIM(SPLIT(G203, "","")),
      LAMBDA(clave,
        COUNTIF('Asignaturas2026-2'!B:B, clave )&gt;0
      )
    )
  )
)))"),"#REF!")</f>
        <v>#REF!</v>
      </c>
      <c r="J203" s="11" t="s">
        <v>436</v>
      </c>
      <c r="K203" s="6" t="str">
        <f t="shared" si="3"/>
        <v>#REF!</v>
      </c>
      <c r="L203" s="6" t="str">
        <f t="shared" si="4"/>
        <v>#REF!</v>
      </c>
      <c r="M203" s="12">
        <v>1.0</v>
      </c>
      <c r="N203" s="6" t="e">
        <v>#N/A</v>
      </c>
      <c r="O203" s="6" t="e">
        <v>#N/A</v>
      </c>
      <c r="P203" s="6" t="e">
        <v>#N/A</v>
      </c>
      <c r="Q203" s="6" t="e">
        <v>#N/A</v>
      </c>
      <c r="R203" s="6" t="e">
        <v>#N/A</v>
      </c>
    </row>
    <row r="204" ht="22.5" customHeight="1">
      <c r="A204" s="7" t="s">
        <v>462</v>
      </c>
      <c r="B204" s="30" t="s">
        <v>248</v>
      </c>
      <c r="C204" s="31">
        <v>3.0</v>
      </c>
      <c r="D204" s="31"/>
      <c r="E204" s="32"/>
      <c r="F204" s="31">
        <v>3.0</v>
      </c>
      <c r="G204" s="19" t="s">
        <v>463</v>
      </c>
      <c r="H204" s="1" t="str">
        <f t="shared" si="2"/>
        <v>#REF!</v>
      </c>
      <c r="I204" s="10" t="str">
        <f>IFERROR(__xludf.DUMMYFUNCTION("if(or(L204=0),"""",IFERROR(TEXTJOIN("", "",
  TRUE,
  FILTER(
    TRIM(SPLIT(G204, "","")),
    MAP(
      TRIM(SPLIT(G204, "","")),
      LAMBDA(clave,
        COUNTIF('Asignaturas2026-2'!B:B, clave )&gt;0
      )
    )
  )
)))"),"#REF!")</f>
        <v>#REF!</v>
      </c>
      <c r="J204" s="11" t="s">
        <v>436</v>
      </c>
      <c r="K204" s="6" t="str">
        <f t="shared" si="3"/>
        <v>#REF!</v>
      </c>
      <c r="L204" s="6" t="str">
        <f t="shared" si="4"/>
        <v>#REF!</v>
      </c>
      <c r="M204" s="12">
        <v>1.0</v>
      </c>
      <c r="N204" s="6" t="e">
        <v>#N/A</v>
      </c>
      <c r="O204" s="6" t="e">
        <v>#N/A</v>
      </c>
      <c r="P204" s="6" t="e">
        <v>#N/A</v>
      </c>
      <c r="Q204" s="6" t="e">
        <v>#N/A</v>
      </c>
      <c r="R204" s="6" t="e">
        <v>#N/A</v>
      </c>
    </row>
    <row r="205" ht="22.5" customHeight="1">
      <c r="A205" s="7" t="s">
        <v>464</v>
      </c>
      <c r="B205" s="30" t="s">
        <v>465</v>
      </c>
      <c r="C205" s="31">
        <v>3.0</v>
      </c>
      <c r="D205" s="31"/>
      <c r="E205" s="31" t="s">
        <v>458</v>
      </c>
      <c r="F205" s="31">
        <v>3.0</v>
      </c>
      <c r="G205" s="19" t="s">
        <v>466</v>
      </c>
      <c r="H205" s="1" t="str">
        <f t="shared" si="2"/>
        <v>#REF!</v>
      </c>
      <c r="I205" s="10" t="str">
        <f>IFERROR(__xludf.DUMMYFUNCTION("if(or(L205=0),"""",IFERROR(TEXTJOIN("", "",
  TRUE,
  FILTER(
    TRIM(SPLIT(G205, "","")),
    MAP(
      TRIM(SPLIT(G205, "","")),
      LAMBDA(clave,
        COUNTIF('Asignaturas2026-2'!B:B, clave )&gt;0
      )
    )
  )
)))"),"#REF!")</f>
        <v>#REF!</v>
      </c>
      <c r="J205" s="11" t="s">
        <v>436</v>
      </c>
      <c r="K205" s="6" t="str">
        <f t="shared" si="3"/>
        <v>#REF!</v>
      </c>
      <c r="L205" s="6" t="str">
        <f t="shared" si="4"/>
        <v>#REF!</v>
      </c>
      <c r="M205" s="12">
        <v>1.0</v>
      </c>
      <c r="N205" s="6" t="e">
        <v>#N/A</v>
      </c>
      <c r="O205" s="6" t="e">
        <v>#N/A</v>
      </c>
      <c r="P205" s="6" t="e">
        <v>#N/A</v>
      </c>
      <c r="Q205" s="6" t="e">
        <v>#N/A</v>
      </c>
      <c r="R205" s="6" t="e">
        <v>#N/A</v>
      </c>
    </row>
    <row r="206" ht="22.5" customHeight="1">
      <c r="A206" s="7" t="s">
        <v>467</v>
      </c>
      <c r="B206" s="30" t="s">
        <v>49</v>
      </c>
      <c r="C206" s="31">
        <v>4.0</v>
      </c>
      <c r="D206" s="31"/>
      <c r="E206" s="31" t="s">
        <v>468</v>
      </c>
      <c r="F206" s="31">
        <v>3.0</v>
      </c>
      <c r="G206" s="19" t="s">
        <v>469</v>
      </c>
      <c r="H206" s="1" t="str">
        <f t="shared" si="2"/>
        <v>#REF!</v>
      </c>
      <c r="I206" s="10" t="str">
        <f>IFERROR(__xludf.DUMMYFUNCTION("if(or(L206=0),"""",IFERROR(TEXTJOIN("", "",
  TRUE,
  FILTER(
    TRIM(SPLIT(G206, "","")),
    MAP(
      TRIM(SPLIT(G206, "","")),
      LAMBDA(clave,
        COUNTIF('Asignaturas2026-2'!B:B, clave )&gt;0
      )
    )
  )
)))"),"#REF!")</f>
        <v>#REF!</v>
      </c>
      <c r="J206" s="11" t="s">
        <v>436</v>
      </c>
      <c r="K206" s="6" t="str">
        <f t="shared" si="3"/>
        <v>#REF!</v>
      </c>
      <c r="L206" s="6" t="str">
        <f t="shared" si="4"/>
        <v>#REF!</v>
      </c>
      <c r="M206" s="12">
        <v>1.0</v>
      </c>
      <c r="N206" s="6" t="e">
        <v>#N/A</v>
      </c>
      <c r="O206" s="6" t="e">
        <v>#N/A</v>
      </c>
      <c r="P206" s="6" t="e">
        <v>#N/A</v>
      </c>
      <c r="Q206" s="6" t="e">
        <v>#N/A</v>
      </c>
      <c r="R206" s="6" t="e">
        <v>#N/A</v>
      </c>
    </row>
    <row r="207" ht="22.5" customHeight="1">
      <c r="A207" s="7" t="s">
        <v>470</v>
      </c>
      <c r="B207" s="30" t="s">
        <v>58</v>
      </c>
      <c r="C207" s="31">
        <v>2.0</v>
      </c>
      <c r="D207" s="31"/>
      <c r="E207" s="31" t="s">
        <v>301</v>
      </c>
      <c r="F207" s="33">
        <v>4.0</v>
      </c>
      <c r="G207" s="19"/>
      <c r="H207" s="1" t="str">
        <f t="shared" si="2"/>
        <v>#REF!</v>
      </c>
      <c r="I207" s="10" t="str">
        <f>IFERROR(__xludf.DUMMYFUNCTION("if(or(L207=0),"""",IFERROR(TEXTJOIN("", "",
  TRUE,
  FILTER(
    TRIM(SPLIT(G207, "","")),
    MAP(
      TRIM(SPLIT(G207, "","")),
      LAMBDA(clave,
        COUNTIF('Asignaturas2026-2'!B:B, clave )&gt;0
      )
    )
  )
)))"),"#REF!")</f>
        <v>#REF!</v>
      </c>
      <c r="J207" s="11" t="s">
        <v>436</v>
      </c>
      <c r="K207" s="6" t="str">
        <f t="shared" si="3"/>
        <v>#REF!</v>
      </c>
      <c r="L207" s="6" t="str">
        <f t="shared" si="4"/>
        <v>#REF!</v>
      </c>
      <c r="M207" s="12">
        <v>1.0</v>
      </c>
      <c r="N207" s="6">
        <v>25.0</v>
      </c>
      <c r="O207" s="6">
        <v>4.0</v>
      </c>
      <c r="P207" s="6">
        <v>0.0</v>
      </c>
      <c r="Q207" s="6">
        <v>2.0</v>
      </c>
      <c r="R207" s="6">
        <v>0.0</v>
      </c>
    </row>
    <row r="208" ht="22.5" customHeight="1">
      <c r="A208" s="7" t="s">
        <v>471</v>
      </c>
      <c r="B208" s="30" t="s">
        <v>472</v>
      </c>
      <c r="C208" s="31">
        <v>3.0</v>
      </c>
      <c r="D208" s="31"/>
      <c r="E208" s="31" t="s">
        <v>473</v>
      </c>
      <c r="F208" s="31">
        <v>4.0</v>
      </c>
      <c r="G208" s="19" t="s">
        <v>474</v>
      </c>
      <c r="H208" s="1" t="str">
        <f t="shared" si="2"/>
        <v>#REF!</v>
      </c>
      <c r="I208" s="10" t="str">
        <f>IFERROR(__xludf.DUMMYFUNCTION("if(or(L208=0),"""",IFERROR(TEXTJOIN("", "",
  TRUE,
  FILTER(
    TRIM(SPLIT(G208, "","")),
    MAP(
      TRIM(SPLIT(G208, "","")),
      LAMBDA(clave,
        COUNTIF('Asignaturas2026-2'!B:B, clave )&gt;0
      )
    )
  )
)))"),"#REF!")</f>
        <v>#REF!</v>
      </c>
      <c r="J208" s="11" t="s">
        <v>436</v>
      </c>
      <c r="K208" s="6" t="str">
        <f t="shared" si="3"/>
        <v>#REF!</v>
      </c>
      <c r="L208" s="6" t="str">
        <f t="shared" si="4"/>
        <v>#REF!</v>
      </c>
      <c r="M208" s="12">
        <v>1.0</v>
      </c>
      <c r="N208" s="6" t="e">
        <v>#N/A</v>
      </c>
      <c r="O208" s="6" t="e">
        <v>#N/A</v>
      </c>
      <c r="P208" s="6" t="e">
        <v>#N/A</v>
      </c>
      <c r="Q208" s="6" t="e">
        <v>#N/A</v>
      </c>
      <c r="R208" s="6" t="e">
        <v>#N/A</v>
      </c>
    </row>
    <row r="209" ht="22.5" customHeight="1">
      <c r="A209" s="7" t="s">
        <v>475</v>
      </c>
      <c r="B209" s="30" t="s">
        <v>303</v>
      </c>
      <c r="C209" s="31">
        <v>3.0</v>
      </c>
      <c r="D209" s="31"/>
      <c r="E209" s="31" t="s">
        <v>476</v>
      </c>
      <c r="F209" s="31">
        <v>4.0</v>
      </c>
      <c r="G209" s="19" t="s">
        <v>477</v>
      </c>
      <c r="H209" s="1" t="str">
        <f t="shared" si="2"/>
        <v>#REF!</v>
      </c>
      <c r="I209" s="10" t="str">
        <f>IFERROR(__xludf.DUMMYFUNCTION("if(or(L209=0),"""",IFERROR(TEXTJOIN("", "",
  TRUE,
  FILTER(
    TRIM(SPLIT(G209, "","")),
    MAP(
      TRIM(SPLIT(G209, "","")),
      LAMBDA(clave,
        COUNTIF('Asignaturas2026-2'!B:B, clave )&gt;0
      )
    )
  )
)))"),"#REF!")</f>
        <v>#REF!</v>
      </c>
      <c r="J209" s="11" t="s">
        <v>436</v>
      </c>
      <c r="K209" s="6" t="str">
        <f t="shared" si="3"/>
        <v>#REF!</v>
      </c>
      <c r="L209" s="6" t="str">
        <f t="shared" si="4"/>
        <v>#REF!</v>
      </c>
      <c r="M209" s="12">
        <v>1.0</v>
      </c>
      <c r="N209" s="6" t="e">
        <v>#N/A</v>
      </c>
      <c r="O209" s="6" t="e">
        <v>#N/A</v>
      </c>
      <c r="P209" s="6" t="e">
        <v>#N/A</v>
      </c>
      <c r="Q209" s="6" t="e">
        <v>#N/A</v>
      </c>
      <c r="R209" s="6" t="e">
        <v>#N/A</v>
      </c>
    </row>
    <row r="210" ht="22.5" customHeight="1">
      <c r="A210" s="7" t="s">
        <v>478</v>
      </c>
      <c r="B210" s="30" t="s">
        <v>82</v>
      </c>
      <c r="C210" s="31">
        <v>3.0</v>
      </c>
      <c r="D210" s="31"/>
      <c r="E210" s="31" t="s">
        <v>479</v>
      </c>
      <c r="F210" s="31">
        <v>4.0</v>
      </c>
      <c r="G210" s="19" t="s">
        <v>480</v>
      </c>
      <c r="H210" s="1" t="str">
        <f t="shared" si="2"/>
        <v>#REF!</v>
      </c>
      <c r="I210" s="10" t="str">
        <f>IFERROR(__xludf.DUMMYFUNCTION("if(or(L210=0),"""",IFERROR(TEXTJOIN("", "",
  TRUE,
  FILTER(
    TRIM(SPLIT(G210, "","")),
    MAP(
      TRIM(SPLIT(G210, "","")),
      LAMBDA(clave,
        COUNTIF('Asignaturas2026-2'!B:B, clave )&gt;0
      )
    )
  )
)))"),"#REF!")</f>
        <v>#REF!</v>
      </c>
      <c r="J210" s="11" t="s">
        <v>436</v>
      </c>
      <c r="K210" s="6" t="str">
        <f t="shared" si="3"/>
        <v>#REF!</v>
      </c>
      <c r="L210" s="6" t="str">
        <f t="shared" si="4"/>
        <v>#REF!</v>
      </c>
      <c r="M210" s="12">
        <v>1.0</v>
      </c>
      <c r="N210" s="6" t="e">
        <v>#N/A</v>
      </c>
      <c r="O210" s="6" t="e">
        <v>#N/A</v>
      </c>
      <c r="P210" s="6" t="e">
        <v>#N/A</v>
      </c>
      <c r="Q210" s="6" t="e">
        <v>#N/A</v>
      </c>
      <c r="R210" s="6" t="e">
        <v>#N/A</v>
      </c>
    </row>
    <row r="211" ht="22.5" customHeight="1">
      <c r="A211" s="7" t="s">
        <v>481</v>
      </c>
      <c r="B211" s="30" t="s">
        <v>262</v>
      </c>
      <c r="C211" s="31">
        <v>3.0</v>
      </c>
      <c r="D211" s="31"/>
      <c r="E211" s="31" t="s">
        <v>482</v>
      </c>
      <c r="F211" s="31">
        <v>4.0</v>
      </c>
      <c r="G211" s="43" t="s">
        <v>483</v>
      </c>
      <c r="H211" s="1" t="str">
        <f t="shared" si="2"/>
        <v>#REF!</v>
      </c>
      <c r="I211" s="10" t="str">
        <f>IFERROR(__xludf.DUMMYFUNCTION("if(or(L211=0),"""",IFERROR(TEXTJOIN("", "",
  TRUE,
  FILTER(
    TRIM(SPLIT(G211, "","")),
    MAP(
      TRIM(SPLIT(G211, "","")),
      LAMBDA(clave,
        COUNTIF('Asignaturas2026-2'!B:B, clave )&gt;0
      )
    )
  )
)))"),"#REF!")</f>
        <v>#REF!</v>
      </c>
      <c r="J211" s="11" t="s">
        <v>436</v>
      </c>
      <c r="K211" s="6" t="str">
        <f t="shared" si="3"/>
        <v>#REF!</v>
      </c>
      <c r="L211" s="6" t="str">
        <f t="shared" si="4"/>
        <v>#REF!</v>
      </c>
      <c r="M211" s="12">
        <v>1.0</v>
      </c>
      <c r="N211" s="6" t="e">
        <v>#N/A</v>
      </c>
      <c r="O211" s="6" t="e">
        <v>#N/A</v>
      </c>
      <c r="P211" s="6" t="e">
        <v>#N/A</v>
      </c>
      <c r="Q211" s="6" t="e">
        <v>#N/A</v>
      </c>
      <c r="R211" s="6" t="e">
        <v>#N/A</v>
      </c>
    </row>
    <row r="212" ht="22.5" customHeight="1">
      <c r="A212" s="7" t="s">
        <v>484</v>
      </c>
      <c r="B212" s="30" t="s">
        <v>485</v>
      </c>
      <c r="C212" s="31">
        <v>4.0</v>
      </c>
      <c r="D212" s="31"/>
      <c r="E212" s="31" t="s">
        <v>479</v>
      </c>
      <c r="F212" s="31">
        <v>4.0</v>
      </c>
      <c r="G212" s="19" t="s">
        <v>486</v>
      </c>
      <c r="H212" s="1" t="str">
        <f t="shared" si="2"/>
        <v>#REF!</v>
      </c>
      <c r="I212" s="10" t="str">
        <f>IFERROR(__xludf.DUMMYFUNCTION("if(or(L212=0),"""",IFERROR(TEXTJOIN("", "",
  TRUE,
  FILTER(
    TRIM(SPLIT(G212, "","")),
    MAP(
      TRIM(SPLIT(G212, "","")),
      LAMBDA(clave,
        COUNTIF('Asignaturas2026-2'!B:B, clave )&gt;0
      )
    )
  )
)))"),"#REF!")</f>
        <v>#REF!</v>
      </c>
      <c r="J212" s="11" t="s">
        <v>436</v>
      </c>
      <c r="K212" s="6" t="str">
        <f t="shared" si="3"/>
        <v>#REF!</v>
      </c>
      <c r="L212" s="6" t="str">
        <f t="shared" si="4"/>
        <v>#REF!</v>
      </c>
      <c r="M212" s="12">
        <v>1.0</v>
      </c>
      <c r="N212" s="6" t="e">
        <v>#N/A</v>
      </c>
      <c r="O212" s="6">
        <v>0.0</v>
      </c>
      <c r="P212" s="6">
        <v>0.0</v>
      </c>
      <c r="Q212" s="6">
        <v>0.0</v>
      </c>
      <c r="R212" s="6">
        <v>0.0</v>
      </c>
    </row>
    <row r="213" ht="22.5" customHeight="1">
      <c r="A213" s="7" t="s">
        <v>487</v>
      </c>
      <c r="B213" s="30" t="s">
        <v>72</v>
      </c>
      <c r="C213" s="31">
        <v>2.0</v>
      </c>
      <c r="D213" s="31"/>
      <c r="E213" s="31" t="s">
        <v>57</v>
      </c>
      <c r="F213" s="33">
        <v>5.0</v>
      </c>
      <c r="G213" s="44"/>
      <c r="H213" s="1" t="str">
        <f t="shared" si="2"/>
        <v>#REF!</v>
      </c>
      <c r="I213" s="10" t="str">
        <f>IFERROR(__xludf.DUMMYFUNCTION("if(or(L213=0),"""",IFERROR(TEXTJOIN("", "",
  TRUE,
  FILTER(
    TRIM(SPLIT(G213, "","")),
    MAP(
      TRIM(SPLIT(G213, "","")),
      LAMBDA(clave,
        COUNTIF('Asignaturas2026-2'!B:B, clave )&gt;0
      )
    )
  )
)))"),"#REF!")</f>
        <v>#REF!</v>
      </c>
      <c r="J213" s="11" t="s">
        <v>436</v>
      </c>
      <c r="K213" s="6" t="str">
        <f t="shared" si="3"/>
        <v>#REF!</v>
      </c>
      <c r="L213" s="6" t="str">
        <f t="shared" si="4"/>
        <v>#REF!</v>
      </c>
      <c r="M213" s="12">
        <v>1.0</v>
      </c>
      <c r="N213" s="6">
        <v>25.0</v>
      </c>
      <c r="O213" s="6">
        <v>4.0</v>
      </c>
      <c r="P213" s="6">
        <v>0.0</v>
      </c>
      <c r="Q213" s="6">
        <v>2.0</v>
      </c>
      <c r="R213" s="6">
        <v>0.0</v>
      </c>
    </row>
    <row r="214" ht="22.5" customHeight="1">
      <c r="A214" s="7" t="s">
        <v>488</v>
      </c>
      <c r="B214" s="30" t="s">
        <v>320</v>
      </c>
      <c r="C214" s="31">
        <v>3.0</v>
      </c>
      <c r="D214" s="31"/>
      <c r="E214" s="32"/>
      <c r="F214" s="31">
        <v>5.0</v>
      </c>
      <c r="G214" s="19" t="s">
        <v>489</v>
      </c>
      <c r="H214" s="1" t="str">
        <f t="shared" si="2"/>
        <v>#REF!</v>
      </c>
      <c r="I214" s="10" t="str">
        <f>IFERROR(__xludf.DUMMYFUNCTION("if(or(L214=0),"""",IFERROR(TEXTJOIN("", "",
  TRUE,
  FILTER(
    TRIM(SPLIT(G214, "","")),
    MAP(
      TRIM(SPLIT(G214, "","")),
      LAMBDA(clave,
        COUNTIF('Asignaturas2026-2'!B:B, clave )&gt;0
      )
    )
  )
)))"),"#REF!")</f>
        <v>#REF!</v>
      </c>
      <c r="J214" s="11" t="s">
        <v>436</v>
      </c>
      <c r="K214" s="6" t="str">
        <f t="shared" si="3"/>
        <v>#REF!</v>
      </c>
      <c r="L214" s="6" t="str">
        <f t="shared" si="4"/>
        <v>#REF!</v>
      </c>
      <c r="M214" s="12">
        <v>1.0</v>
      </c>
      <c r="N214" s="6" t="e">
        <v>#N/A</v>
      </c>
      <c r="O214" s="6">
        <v>4.0</v>
      </c>
      <c r="P214" s="6">
        <v>2.0</v>
      </c>
      <c r="Q214" s="6" t="e">
        <v>#N/A</v>
      </c>
      <c r="R214" s="6" t="e">
        <v>#N/A</v>
      </c>
    </row>
    <row r="215" ht="22.5" customHeight="1">
      <c r="A215" s="7" t="s">
        <v>490</v>
      </c>
      <c r="B215" s="30" t="s">
        <v>119</v>
      </c>
      <c r="C215" s="31">
        <v>3.0</v>
      </c>
      <c r="D215" s="31"/>
      <c r="E215" s="31" t="s">
        <v>491</v>
      </c>
      <c r="F215" s="31">
        <v>5.0</v>
      </c>
      <c r="G215" s="19" t="s">
        <v>492</v>
      </c>
      <c r="H215" s="1" t="str">
        <f t="shared" si="2"/>
        <v>#REF!</v>
      </c>
      <c r="I215" s="10" t="str">
        <f>IFERROR(__xludf.DUMMYFUNCTION("if(or(L215=0),"""",IFERROR(TEXTJOIN("", "",
  TRUE,
  FILTER(
    TRIM(SPLIT(G215, "","")),
    MAP(
      TRIM(SPLIT(G215, "","")),
      LAMBDA(clave,
        COUNTIF('Asignaturas2026-2'!B:B, clave )&gt;0
      )
    )
  )
)))"),"#REF!")</f>
        <v>#REF!</v>
      </c>
      <c r="J215" s="11" t="s">
        <v>436</v>
      </c>
      <c r="K215" s="6" t="str">
        <f t="shared" si="3"/>
        <v>#REF!</v>
      </c>
      <c r="L215" s="6" t="str">
        <f t="shared" si="4"/>
        <v>#REF!</v>
      </c>
      <c r="M215" s="12">
        <v>0.64</v>
      </c>
      <c r="N215" s="6">
        <v>50.0</v>
      </c>
      <c r="O215" s="6">
        <v>4.0</v>
      </c>
      <c r="P215" s="6">
        <v>2.0</v>
      </c>
      <c r="Q215" s="6">
        <v>0.0</v>
      </c>
      <c r="R215" s="6">
        <v>0.0</v>
      </c>
    </row>
    <row r="216" ht="22.5" customHeight="1">
      <c r="A216" s="7" t="s">
        <v>493</v>
      </c>
      <c r="B216" s="30" t="s">
        <v>294</v>
      </c>
      <c r="C216" s="31">
        <v>4.0</v>
      </c>
      <c r="D216" s="31"/>
      <c r="E216" s="31" t="s">
        <v>494</v>
      </c>
      <c r="F216" s="31">
        <v>5.0</v>
      </c>
      <c r="G216" s="19" t="s">
        <v>495</v>
      </c>
      <c r="H216" s="1" t="str">
        <f t="shared" si="2"/>
        <v>#REF!</v>
      </c>
      <c r="I216" s="10" t="str">
        <f>IFERROR(__xludf.DUMMYFUNCTION("if(or(L216=0),"""",IFERROR(TEXTJOIN("", "",
  TRUE,
  FILTER(
    TRIM(SPLIT(G216, "","")),
    MAP(
      TRIM(SPLIT(G216, "","")),
      LAMBDA(clave,
        COUNTIF('Asignaturas2026-2'!B:B, clave )&gt;0
      )
    )
  )
)))"),"#REF!")</f>
        <v>#REF!</v>
      </c>
      <c r="J216" s="11" t="s">
        <v>436</v>
      </c>
      <c r="K216" s="6" t="str">
        <f t="shared" si="3"/>
        <v>#REF!</v>
      </c>
      <c r="L216" s="6" t="str">
        <f t="shared" si="4"/>
        <v>#REF!</v>
      </c>
      <c r="M216" s="12">
        <v>0.8</v>
      </c>
      <c r="N216" s="6" t="e">
        <v>#N/A</v>
      </c>
      <c r="O216" s="6" t="e">
        <v>#N/A</v>
      </c>
      <c r="P216" s="6" t="e">
        <v>#N/A</v>
      </c>
      <c r="Q216" s="6" t="e">
        <v>#N/A</v>
      </c>
      <c r="R216" s="6" t="e">
        <v>#N/A</v>
      </c>
    </row>
    <row r="217" ht="22.5" customHeight="1">
      <c r="A217" s="7" t="s">
        <v>496</v>
      </c>
      <c r="B217" s="30" t="s">
        <v>85</v>
      </c>
      <c r="C217" s="31">
        <v>2.0</v>
      </c>
      <c r="D217" s="31"/>
      <c r="E217" s="31" t="s">
        <v>71</v>
      </c>
      <c r="F217" s="33">
        <v>6.0</v>
      </c>
      <c r="G217" s="44"/>
      <c r="H217" s="1" t="str">
        <f t="shared" si="2"/>
        <v>#REF!</v>
      </c>
      <c r="I217" s="10" t="str">
        <f>IFERROR(__xludf.DUMMYFUNCTION("if(or(L217=0),"""",IFERROR(TEXTJOIN("", "",
  TRUE,
  FILTER(
    TRIM(SPLIT(G217, "","")),
    MAP(
      TRIM(SPLIT(G217, "","")),
      LAMBDA(clave,
        COUNTIF('Asignaturas2026-2'!B:B, clave )&gt;0
      )
    )
  )
)))"),"#REF!")</f>
        <v>#REF!</v>
      </c>
      <c r="J217" s="11" t="s">
        <v>436</v>
      </c>
      <c r="K217" s="6" t="str">
        <f t="shared" si="3"/>
        <v>#REF!</v>
      </c>
      <c r="L217" s="6" t="str">
        <f t="shared" si="4"/>
        <v>#REF!</v>
      </c>
      <c r="M217" s="12">
        <v>1.0</v>
      </c>
      <c r="N217" s="6">
        <v>25.0</v>
      </c>
      <c r="O217" s="6">
        <v>4.0</v>
      </c>
      <c r="P217" s="6">
        <v>0.0</v>
      </c>
      <c r="Q217" s="6">
        <v>2.0</v>
      </c>
      <c r="R217" s="6">
        <v>0.0</v>
      </c>
    </row>
    <row r="218" ht="22.5" customHeight="1">
      <c r="A218" s="7" t="s">
        <v>497</v>
      </c>
      <c r="B218" s="30" t="s">
        <v>316</v>
      </c>
      <c r="C218" s="31">
        <v>3.0</v>
      </c>
      <c r="D218" s="31"/>
      <c r="E218" s="31" t="s">
        <v>498</v>
      </c>
      <c r="F218" s="31">
        <v>6.0</v>
      </c>
      <c r="G218" s="19" t="s">
        <v>499</v>
      </c>
      <c r="H218" s="1" t="str">
        <f t="shared" si="2"/>
        <v>#REF!</v>
      </c>
      <c r="I218" s="10" t="str">
        <f>IFERROR(__xludf.DUMMYFUNCTION("if(or(L218=0),"""",IFERROR(TEXTJOIN("", "",
  TRUE,
  FILTER(
    TRIM(SPLIT(G218, "","")),
    MAP(
      TRIM(SPLIT(G218, "","")),
      LAMBDA(clave,
        COUNTIF('Asignaturas2026-2'!B:B, clave )&gt;0
      )
    )
  )
)))"),"#REF!")</f>
        <v>#REF!</v>
      </c>
      <c r="J218" s="11" t="s">
        <v>436</v>
      </c>
      <c r="K218" s="6" t="str">
        <f t="shared" si="3"/>
        <v>#REF!</v>
      </c>
      <c r="L218" s="6" t="str">
        <f t="shared" si="4"/>
        <v>#REF!</v>
      </c>
      <c r="M218" s="12">
        <v>1.0</v>
      </c>
      <c r="N218" s="6" t="e">
        <v>#N/A</v>
      </c>
      <c r="O218" s="6" t="e">
        <v>#N/A</v>
      </c>
      <c r="P218" s="6" t="e">
        <v>#N/A</v>
      </c>
      <c r="Q218" s="6" t="e">
        <v>#N/A</v>
      </c>
      <c r="R218" s="6" t="e">
        <v>#N/A</v>
      </c>
    </row>
    <row r="219" ht="22.5" customHeight="1">
      <c r="A219" s="7" t="s">
        <v>500</v>
      </c>
      <c r="B219" s="30" t="s">
        <v>306</v>
      </c>
      <c r="C219" s="31">
        <v>3.0</v>
      </c>
      <c r="D219" s="31"/>
      <c r="E219" s="31" t="s">
        <v>501</v>
      </c>
      <c r="F219" s="31">
        <v>6.0</v>
      </c>
      <c r="G219" s="19" t="s">
        <v>338</v>
      </c>
      <c r="H219" s="1" t="str">
        <f t="shared" si="2"/>
        <v>#REF!</v>
      </c>
      <c r="I219" s="10" t="str">
        <f>IFERROR(__xludf.DUMMYFUNCTION("if(or(L219=0),"""",IFERROR(TEXTJOIN("", "",
  TRUE,
  FILTER(
    TRIM(SPLIT(G219, "","")),
    MAP(
      TRIM(SPLIT(G219, "","")),
      LAMBDA(clave,
        COUNTIF('Asignaturas2026-2'!B:B, clave )&gt;0
      )
    )
  )
)))"),"#REF!")</f>
        <v>#REF!</v>
      </c>
      <c r="J219" s="11" t="s">
        <v>436</v>
      </c>
      <c r="K219" s="6" t="str">
        <f t="shared" si="3"/>
        <v>#REF!</v>
      </c>
      <c r="L219" s="6" t="str">
        <f t="shared" si="4"/>
        <v>#REF!</v>
      </c>
      <c r="M219" s="12">
        <v>1.0</v>
      </c>
      <c r="N219" s="6" t="e">
        <v>#N/A</v>
      </c>
      <c r="O219" s="6">
        <v>0.0</v>
      </c>
      <c r="P219" s="6">
        <v>0.0</v>
      </c>
      <c r="Q219" s="6">
        <v>0.0</v>
      </c>
      <c r="R219" s="6">
        <v>0.0</v>
      </c>
    </row>
    <row r="220" ht="22.5" customHeight="1">
      <c r="A220" s="7" t="s">
        <v>502</v>
      </c>
      <c r="B220" s="30" t="s">
        <v>198</v>
      </c>
      <c r="C220" s="31">
        <v>3.0</v>
      </c>
      <c r="D220" s="31"/>
      <c r="E220" s="31" t="s">
        <v>503</v>
      </c>
      <c r="F220" s="33">
        <v>6.0</v>
      </c>
      <c r="G220" s="43" t="s">
        <v>365</v>
      </c>
      <c r="H220" s="1" t="str">
        <f t="shared" si="2"/>
        <v>#REF!</v>
      </c>
      <c r="I220" s="10" t="str">
        <f>IFERROR(__xludf.DUMMYFUNCTION("if(or(L220=0),"""",IFERROR(TEXTJOIN("", "",
  TRUE,
  FILTER(
    TRIM(SPLIT(G220, "","")),
    MAP(
      TRIM(SPLIT(G220, "","")),
      LAMBDA(clave,
        COUNTIF('Asignaturas2026-2'!B:B, clave )&gt;0
      )
    )
  )
)))"),"#REF!")</f>
        <v>#REF!</v>
      </c>
      <c r="J220" s="11" t="s">
        <v>436</v>
      </c>
      <c r="K220" s="6" t="str">
        <f t="shared" si="3"/>
        <v>#REF!</v>
      </c>
      <c r="L220" s="6" t="str">
        <f t="shared" si="4"/>
        <v>#REF!</v>
      </c>
      <c r="M220" s="12">
        <v>1.0</v>
      </c>
      <c r="N220" s="6" t="e">
        <v>#N/A</v>
      </c>
      <c r="O220" s="6">
        <v>4.0</v>
      </c>
      <c r="P220" s="6">
        <v>0.0</v>
      </c>
      <c r="Q220" s="6">
        <v>0.0</v>
      </c>
      <c r="R220" s="6">
        <v>0.0</v>
      </c>
    </row>
    <row r="221" ht="22.5" customHeight="1">
      <c r="A221" s="7" t="s">
        <v>504</v>
      </c>
      <c r="B221" s="30" t="s">
        <v>185</v>
      </c>
      <c r="C221" s="31">
        <v>4.0</v>
      </c>
      <c r="D221" s="31"/>
      <c r="E221" s="31" t="s">
        <v>503</v>
      </c>
      <c r="F221" s="31">
        <v>6.0</v>
      </c>
      <c r="G221" s="19" t="s">
        <v>505</v>
      </c>
      <c r="H221" s="1" t="str">
        <f t="shared" si="2"/>
        <v>#REF!</v>
      </c>
      <c r="I221" s="10" t="str">
        <f>IFERROR(__xludf.DUMMYFUNCTION("if(or(L221=0),"""",IFERROR(TEXTJOIN("", "",
  TRUE,
  FILTER(
    TRIM(SPLIT(G221, "","")),
    MAP(
      TRIM(SPLIT(G221, "","")),
      LAMBDA(clave,
        COUNTIF('Asignaturas2026-2'!B:B, clave )&gt;0
      )
    )
  )
)))"),"#REF!")</f>
        <v>#REF!</v>
      </c>
      <c r="J221" s="11" t="s">
        <v>436</v>
      </c>
      <c r="K221" s="6" t="str">
        <f t="shared" si="3"/>
        <v>#REF!</v>
      </c>
      <c r="L221" s="6" t="str">
        <f t="shared" si="4"/>
        <v>#REF!</v>
      </c>
      <c r="M221" s="12">
        <v>1.0</v>
      </c>
      <c r="N221" s="6" t="e">
        <v>#N/A</v>
      </c>
      <c r="O221" s="6">
        <v>4.0</v>
      </c>
      <c r="P221" s="6">
        <v>2.0</v>
      </c>
      <c r="Q221" s="6" t="e">
        <v>#N/A</v>
      </c>
      <c r="R221" s="6" t="e">
        <v>#N/A</v>
      </c>
    </row>
    <row r="222" ht="22.5" customHeight="1">
      <c r="A222" s="7" t="s">
        <v>506</v>
      </c>
      <c r="B222" s="30" t="s">
        <v>507</v>
      </c>
      <c r="C222" s="31">
        <v>8.0</v>
      </c>
      <c r="D222" s="31"/>
      <c r="E222" s="32"/>
      <c r="F222" s="31">
        <v>6.0</v>
      </c>
      <c r="G222" s="19" t="s">
        <v>357</v>
      </c>
      <c r="H222" s="1" t="str">
        <f t="shared" si="2"/>
        <v>#REF!</v>
      </c>
      <c r="I222" s="10" t="str">
        <f>IFERROR(__xludf.DUMMYFUNCTION("if(or(L222=0),"""",IFERROR(TEXTJOIN("", "",
  TRUE,
  FILTER(
    TRIM(SPLIT(G222, "","")),
    MAP(
      TRIM(SPLIT(G222, "","")),
      LAMBDA(clave,
        COUNTIF('Asignaturas2026-2'!B:B, clave )&gt;0
      )
    )
  )
)))"),"#REF!")</f>
        <v>#REF!</v>
      </c>
      <c r="J222" s="11" t="s">
        <v>436</v>
      </c>
      <c r="K222" s="6" t="str">
        <f t="shared" si="3"/>
        <v>#REF!</v>
      </c>
      <c r="L222" s="6" t="str">
        <f t="shared" si="4"/>
        <v>#REF!</v>
      </c>
      <c r="M222" s="12">
        <v>1.0</v>
      </c>
      <c r="N222" s="6" t="e">
        <v>#N/A</v>
      </c>
      <c r="O222" s="6">
        <v>0.0</v>
      </c>
      <c r="P222" s="6">
        <v>0.0</v>
      </c>
      <c r="Q222" s="6">
        <v>0.0</v>
      </c>
      <c r="R222" s="6">
        <v>0.0</v>
      </c>
    </row>
    <row r="223" ht="22.5" customHeight="1">
      <c r="A223" s="7" t="s">
        <v>508</v>
      </c>
      <c r="B223" s="30" t="s">
        <v>100</v>
      </c>
      <c r="C223" s="31">
        <v>2.0</v>
      </c>
      <c r="D223" s="31"/>
      <c r="E223" s="31" t="s">
        <v>84</v>
      </c>
      <c r="F223" s="33">
        <v>7.0</v>
      </c>
      <c r="G223" s="44"/>
      <c r="H223" s="1" t="str">
        <f t="shared" si="2"/>
        <v>#REF!</v>
      </c>
      <c r="I223" s="10" t="str">
        <f>IFERROR(__xludf.DUMMYFUNCTION("if(or(L223=0),"""",IFERROR(TEXTJOIN("", "",
  TRUE,
  FILTER(
    TRIM(SPLIT(G223, "","")),
    MAP(
      TRIM(SPLIT(G223, "","")),
      LAMBDA(clave,
        COUNTIF('Asignaturas2026-2'!B:B, clave )&gt;0
      )
    )
  )
)))"),"#REF!")</f>
        <v>#REF!</v>
      </c>
      <c r="J223" s="11" t="s">
        <v>436</v>
      </c>
      <c r="K223" s="6" t="str">
        <f t="shared" si="3"/>
        <v>#REF!</v>
      </c>
      <c r="L223" s="6" t="str">
        <f t="shared" si="4"/>
        <v>#REF!</v>
      </c>
      <c r="M223" s="12">
        <v>1.0</v>
      </c>
      <c r="N223" s="6">
        <v>25.0</v>
      </c>
      <c r="O223" s="6">
        <v>4.0</v>
      </c>
      <c r="P223" s="6">
        <v>0.0</v>
      </c>
      <c r="Q223" s="6">
        <v>2.0</v>
      </c>
      <c r="R223" s="6">
        <v>0.0</v>
      </c>
    </row>
    <row r="224" ht="22.5" customHeight="1">
      <c r="A224" s="7" t="s">
        <v>509</v>
      </c>
      <c r="B224" s="30" t="s">
        <v>194</v>
      </c>
      <c r="C224" s="31">
        <v>3.0</v>
      </c>
      <c r="D224" s="31"/>
      <c r="E224" s="31" t="s">
        <v>510</v>
      </c>
      <c r="F224" s="31">
        <v>7.0</v>
      </c>
      <c r="G224" s="19" t="s">
        <v>511</v>
      </c>
      <c r="H224" s="1" t="str">
        <f t="shared" si="2"/>
        <v>#REF!</v>
      </c>
      <c r="I224" s="10" t="str">
        <f>IFERROR(__xludf.DUMMYFUNCTION("if(or(L224=0),"""",IFERROR(TEXTJOIN("", "",
  TRUE,
  FILTER(
    TRIM(SPLIT(G224, "","")),
    MAP(
      TRIM(SPLIT(G224, "","")),
      LAMBDA(clave,
        COUNTIF('Asignaturas2026-2'!B:B, clave )&gt;0
      )
    )
  )
)))"),"#REF!")</f>
        <v>#REF!</v>
      </c>
      <c r="J224" s="11" t="s">
        <v>436</v>
      </c>
      <c r="K224" s="6" t="str">
        <f t="shared" si="3"/>
        <v>#REF!</v>
      </c>
      <c r="L224" s="6" t="str">
        <f t="shared" si="4"/>
        <v>#REF!</v>
      </c>
      <c r="M224" s="12">
        <v>0.93</v>
      </c>
      <c r="N224" s="6" t="e">
        <v>#N/A</v>
      </c>
      <c r="O224" s="6">
        <v>4.0</v>
      </c>
      <c r="P224" s="6">
        <v>2.0</v>
      </c>
      <c r="Q224" s="6">
        <v>0.0</v>
      </c>
      <c r="R224" s="6">
        <v>0.0</v>
      </c>
    </row>
    <row r="225" ht="22.5" customHeight="1">
      <c r="A225" s="7" t="s">
        <v>512</v>
      </c>
      <c r="B225" s="30" t="s">
        <v>208</v>
      </c>
      <c r="C225" s="31">
        <v>4.0</v>
      </c>
      <c r="D225" s="31"/>
      <c r="E225" s="31" t="s">
        <v>510</v>
      </c>
      <c r="F225" s="33">
        <v>7.0</v>
      </c>
      <c r="G225" s="43" t="s">
        <v>513</v>
      </c>
      <c r="H225" s="1" t="str">
        <f t="shared" si="2"/>
        <v>#REF!</v>
      </c>
      <c r="I225" s="10" t="str">
        <f>IFERROR(__xludf.DUMMYFUNCTION("if(or(L225=0),"""",IFERROR(TEXTJOIN("", "",
  TRUE,
  FILTER(
    TRIM(SPLIT(G225, "","")),
    MAP(
      TRIM(SPLIT(G225, "","")),
      LAMBDA(clave,
        COUNTIF('Asignaturas2026-2'!B:B, clave )&gt;0
      )
    )
  )
)))"),"#REF!")</f>
        <v>#REF!</v>
      </c>
      <c r="J225" s="11" t="s">
        <v>436</v>
      </c>
      <c r="K225" s="6" t="str">
        <f t="shared" si="3"/>
        <v>#REF!</v>
      </c>
      <c r="L225" s="6" t="str">
        <f t="shared" si="4"/>
        <v>#REF!</v>
      </c>
      <c r="M225" s="12">
        <v>1.0</v>
      </c>
      <c r="N225" s="6" t="e">
        <v>#N/A</v>
      </c>
      <c r="O225" s="6" t="e">
        <v>#N/A</v>
      </c>
      <c r="P225" s="6" t="e">
        <v>#N/A</v>
      </c>
      <c r="Q225" s="6" t="e">
        <v>#N/A</v>
      </c>
      <c r="R225" s="6" t="e">
        <v>#N/A</v>
      </c>
    </row>
    <row r="226" ht="22.5" customHeight="1">
      <c r="A226" s="7" t="s">
        <v>514</v>
      </c>
      <c r="B226" s="30" t="s">
        <v>146</v>
      </c>
      <c r="C226" s="31">
        <v>12.0</v>
      </c>
      <c r="D226" s="31"/>
      <c r="E226" s="31" t="s">
        <v>299</v>
      </c>
      <c r="F226" s="33">
        <v>8.0</v>
      </c>
      <c r="G226" s="43" t="s">
        <v>515</v>
      </c>
      <c r="H226" s="1" t="str">
        <f t="shared" si="2"/>
        <v>#REF!</v>
      </c>
      <c r="I226" s="10" t="str">
        <f>IFERROR(__xludf.DUMMYFUNCTION("if(or(L226=0),"""",IFERROR(TEXTJOIN("", "",
  TRUE,
  FILTER(
    TRIM(SPLIT(G226, "","")),
    MAP(
      TRIM(SPLIT(G226, "","")),
      LAMBDA(clave,
        COUNTIF('Asignaturas2026-2'!B:B, clave )&gt;0
      )
    )
  )
)))"),"#REF!")</f>
        <v>#REF!</v>
      </c>
      <c r="J226" s="11" t="s">
        <v>436</v>
      </c>
      <c r="K226" s="6" t="str">
        <f t="shared" si="3"/>
        <v>#REF!</v>
      </c>
      <c r="L226" s="6" t="str">
        <f t="shared" si="4"/>
        <v>#REF!</v>
      </c>
      <c r="M226" s="12">
        <v>0.8611111111111112</v>
      </c>
      <c r="N226" s="6" t="e">
        <v>#N/A</v>
      </c>
      <c r="O226" s="6" t="e">
        <v>#N/A</v>
      </c>
      <c r="P226" s="6" t="e">
        <v>#N/A</v>
      </c>
      <c r="Q226" s="6" t="e">
        <v>#N/A</v>
      </c>
      <c r="R226" s="6" t="e">
        <v>#N/A</v>
      </c>
    </row>
  </sheetData>
  <customSheetViews>
    <customSheetView guid="{A9715777-7F8A-42CE-91F1-AF36693B8730}" filter="1" showAutoFilter="1">
      <autoFilter ref="$A$1:$R$226"/>
    </customSheetView>
  </customSheetViews>
  <conditionalFormatting sqref="A2:R226">
    <cfRule type="expression" dxfId="5" priority="1">
      <formula>$H2="SI"</formula>
    </cfRule>
  </conditionalFormatting>
  <conditionalFormatting sqref="A1:R226">
    <cfRule type="expression" dxfId="6" priority="2">
      <formula>$L1=0</formula>
    </cfRule>
  </conditionalFormatting>
  <conditionalFormatting sqref="A2:R226">
    <cfRule type="expression" dxfId="7" priority="3">
      <formula>$I2&lt;&gt;""</formula>
    </cfRule>
  </conditionalFormatting>
  <dataValidations>
    <dataValidation type="custom" allowBlank="1" showDropDown="1" sqref="M2:M226">
      <formula1>AND(ISNUMBER(M2),(NOT(OR(NOT(ISERROR(DATEVALUE(M2))), AND(ISNUMBER(M2), LEFT(CELL("format", M2))="D")))))</formula1>
    </dataValidation>
  </dataValidations>
  <printOptions gridLines="1" horizontalCentered="1"/>
  <pageMargins bottom="0.75" footer="0.0" header="0.0" left="0.25" right="0.25" top="0.75"/>
  <pageSetup fitToHeight="0" orientation="landscape" pageOrder="overThenDown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6" width="13.88"/>
  </cols>
  <sheetData>
    <row r="1">
      <c r="A1" s="45" t="s">
        <v>516</v>
      </c>
      <c r="B1" s="46" t="s">
        <v>517</v>
      </c>
    </row>
    <row r="2">
      <c r="A2" s="47" t="s">
        <v>518</v>
      </c>
      <c r="B2" s="47" t="s">
        <v>519</v>
      </c>
      <c r="C2" s="47" t="s">
        <v>520</v>
      </c>
      <c r="D2" s="47" t="s">
        <v>521</v>
      </c>
      <c r="E2" s="47" t="s">
        <v>522</v>
      </c>
      <c r="F2" s="47" t="s">
        <v>523</v>
      </c>
    </row>
    <row r="3">
      <c r="A3" s="48" t="s">
        <v>524</v>
      </c>
      <c r="B3" s="49"/>
      <c r="C3" s="49"/>
      <c r="D3" s="49"/>
      <c r="E3" s="49"/>
      <c r="F3" s="49"/>
    </row>
    <row r="4">
      <c r="A4" s="48" t="s">
        <v>525</v>
      </c>
      <c r="B4" s="50"/>
      <c r="C4" s="49"/>
      <c r="D4" s="49"/>
      <c r="E4" s="49"/>
      <c r="F4" s="49"/>
    </row>
    <row r="5">
      <c r="A5" s="48" t="s">
        <v>526</v>
      </c>
      <c r="B5" s="49"/>
      <c r="C5" s="49"/>
      <c r="D5" s="49"/>
      <c r="E5" s="49"/>
      <c r="F5" s="49"/>
    </row>
    <row r="6">
      <c r="A6" s="48" t="s">
        <v>527</v>
      </c>
      <c r="B6" s="49"/>
      <c r="C6" s="50"/>
      <c r="D6" s="49"/>
      <c r="E6" s="49"/>
      <c r="F6" s="49"/>
    </row>
    <row r="7">
      <c r="A7" s="48" t="s">
        <v>528</v>
      </c>
      <c r="B7" s="49"/>
      <c r="C7" s="50"/>
      <c r="D7" s="49"/>
      <c r="E7" s="50"/>
      <c r="F7" s="49"/>
    </row>
    <row r="8">
      <c r="A8" s="48" t="s">
        <v>529</v>
      </c>
      <c r="B8" s="49"/>
      <c r="C8" s="49"/>
      <c r="D8" s="49"/>
      <c r="E8" s="50"/>
      <c r="F8" s="50"/>
    </row>
    <row r="9">
      <c r="A9" s="48" t="s">
        <v>530</v>
      </c>
      <c r="B9" s="49"/>
      <c r="C9" s="49"/>
      <c r="D9" s="50"/>
      <c r="E9" s="49"/>
      <c r="F9" s="49"/>
    </row>
    <row r="12">
      <c r="A12" s="45" t="s">
        <v>516</v>
      </c>
      <c r="B12" s="46" t="s">
        <v>531</v>
      </c>
    </row>
    <row r="13">
      <c r="A13" s="47" t="s">
        <v>518</v>
      </c>
      <c r="B13" s="47" t="s">
        <v>519</v>
      </c>
      <c r="C13" s="47" t="s">
        <v>520</v>
      </c>
      <c r="D13" s="47" t="s">
        <v>521</v>
      </c>
      <c r="E13" s="47" t="s">
        <v>522</v>
      </c>
      <c r="F13" s="47" t="s">
        <v>523</v>
      </c>
    </row>
    <row r="14">
      <c r="A14" s="48" t="s">
        <v>524</v>
      </c>
      <c r="B14" s="50"/>
      <c r="C14" s="50"/>
      <c r="D14" s="49"/>
      <c r="E14" s="50"/>
      <c r="F14" s="49"/>
    </row>
    <row r="15">
      <c r="A15" s="48" t="s">
        <v>525</v>
      </c>
      <c r="B15" s="50"/>
      <c r="C15" s="49"/>
      <c r="D15" s="49"/>
      <c r="E15" s="49"/>
      <c r="F15" s="49"/>
    </row>
    <row r="16">
      <c r="A16" s="48" t="s">
        <v>526</v>
      </c>
      <c r="B16" s="49"/>
      <c r="C16" s="49"/>
      <c r="D16" s="50"/>
      <c r="E16" s="49"/>
      <c r="F16" s="49"/>
    </row>
    <row r="17">
      <c r="A17" s="48" t="s">
        <v>527</v>
      </c>
      <c r="B17" s="49"/>
      <c r="C17" s="49"/>
      <c r="D17" s="50"/>
      <c r="E17" s="49"/>
      <c r="F17" s="49"/>
    </row>
    <row r="18">
      <c r="A18" s="48" t="s">
        <v>528</v>
      </c>
      <c r="B18" s="49"/>
      <c r="C18" s="50"/>
      <c r="D18" s="49"/>
      <c r="E18" s="49"/>
      <c r="F18" s="50"/>
    </row>
    <row r="19">
      <c r="A19" s="48" t="s">
        <v>529</v>
      </c>
      <c r="B19" s="49"/>
      <c r="C19" s="50"/>
      <c r="D19" s="49"/>
      <c r="E19" s="49"/>
      <c r="F19" s="49"/>
    </row>
    <row r="20">
      <c r="A20" s="48" t="s">
        <v>530</v>
      </c>
      <c r="B20" s="49"/>
      <c r="C20" s="49"/>
      <c r="D20" s="50"/>
      <c r="E20" s="50"/>
      <c r="F20" s="49"/>
    </row>
    <row r="23">
      <c r="A23" s="45" t="s">
        <v>516</v>
      </c>
      <c r="B23" s="46" t="s">
        <v>532</v>
      </c>
    </row>
    <row r="24">
      <c r="A24" s="47" t="s">
        <v>518</v>
      </c>
      <c r="B24" s="47" t="s">
        <v>519</v>
      </c>
      <c r="C24" s="47" t="s">
        <v>520</v>
      </c>
      <c r="D24" s="47" t="s">
        <v>521</v>
      </c>
      <c r="E24" s="47" t="s">
        <v>522</v>
      </c>
      <c r="F24" s="47" t="s">
        <v>523</v>
      </c>
    </row>
    <row r="25">
      <c r="A25" s="48" t="s">
        <v>524</v>
      </c>
      <c r="B25" s="49"/>
      <c r="C25" s="49"/>
      <c r="D25" s="49"/>
      <c r="E25" s="50"/>
      <c r="F25" s="49"/>
    </row>
    <row r="26">
      <c r="A26" s="48" t="s">
        <v>525</v>
      </c>
      <c r="B26" s="50"/>
      <c r="C26" s="49"/>
      <c r="D26" s="49"/>
      <c r="E26" s="50"/>
      <c r="F26" s="49"/>
    </row>
    <row r="27">
      <c r="A27" s="48" t="s">
        <v>526</v>
      </c>
      <c r="B27" s="49"/>
      <c r="C27" s="49"/>
      <c r="D27" s="49"/>
      <c r="E27" s="49"/>
      <c r="F27" s="49"/>
    </row>
    <row r="28">
      <c r="A28" s="48" t="s">
        <v>527</v>
      </c>
      <c r="B28" s="49"/>
      <c r="C28" s="49"/>
      <c r="D28" s="49"/>
      <c r="E28" s="49"/>
      <c r="F28" s="49"/>
    </row>
    <row r="29">
      <c r="A29" s="48" t="s">
        <v>528</v>
      </c>
      <c r="B29" s="50"/>
      <c r="C29" s="49"/>
      <c r="D29" s="49"/>
      <c r="E29" s="49"/>
      <c r="F29" s="49"/>
    </row>
    <row r="30">
      <c r="A30" s="48" t="s">
        <v>529</v>
      </c>
      <c r="B30" s="49"/>
      <c r="C30" s="49"/>
      <c r="D30" s="49"/>
      <c r="E30" s="49"/>
      <c r="F30" s="49"/>
    </row>
    <row r="31">
      <c r="A31" s="48" t="s">
        <v>530</v>
      </c>
      <c r="B31" s="50"/>
      <c r="C31" s="49"/>
      <c r="D31" s="49"/>
      <c r="E31" s="49"/>
      <c r="F31" s="49"/>
    </row>
    <row r="34">
      <c r="A34" s="45" t="s">
        <v>516</v>
      </c>
      <c r="B34" s="46" t="s">
        <v>533</v>
      </c>
    </row>
    <row r="35">
      <c r="A35" s="47" t="s">
        <v>518</v>
      </c>
      <c r="B35" s="47" t="s">
        <v>519</v>
      </c>
      <c r="C35" s="47" t="s">
        <v>520</v>
      </c>
      <c r="D35" s="47" t="s">
        <v>521</v>
      </c>
      <c r="E35" s="47" t="s">
        <v>522</v>
      </c>
      <c r="F35" s="47" t="s">
        <v>523</v>
      </c>
    </row>
    <row r="36">
      <c r="A36" s="48" t="s">
        <v>524</v>
      </c>
      <c r="B36" s="49"/>
      <c r="C36" s="50"/>
      <c r="D36" s="49"/>
      <c r="E36" s="50"/>
      <c r="F36" s="50"/>
    </row>
    <row r="37">
      <c r="A37" s="48" t="s">
        <v>525</v>
      </c>
      <c r="B37" s="49"/>
      <c r="C37" s="49"/>
      <c r="D37" s="49"/>
      <c r="E37" s="49"/>
      <c r="F37" s="49"/>
    </row>
    <row r="38">
      <c r="A38" s="48" t="s">
        <v>526</v>
      </c>
      <c r="B38" s="50"/>
      <c r="C38" s="50"/>
      <c r="D38" s="49"/>
      <c r="E38" s="49"/>
      <c r="F38" s="49"/>
    </row>
    <row r="39">
      <c r="A39" s="48" t="s">
        <v>527</v>
      </c>
      <c r="B39" s="50"/>
      <c r="C39" s="49"/>
      <c r="D39" s="49"/>
      <c r="E39" s="50"/>
      <c r="F39" s="50"/>
    </row>
    <row r="40">
      <c r="A40" s="48" t="s">
        <v>528</v>
      </c>
      <c r="B40" s="49"/>
      <c r="C40" s="50"/>
      <c r="D40" s="50"/>
      <c r="E40" s="49"/>
      <c r="F40" s="49"/>
    </row>
    <row r="41">
      <c r="A41" s="48" t="s">
        <v>529</v>
      </c>
      <c r="B41" s="49"/>
      <c r="C41" s="50"/>
      <c r="D41" s="49"/>
      <c r="E41" s="49"/>
      <c r="F41" s="49"/>
    </row>
    <row r="42">
      <c r="A42" s="48" t="s">
        <v>530</v>
      </c>
      <c r="B42" s="49"/>
      <c r="C42" s="49"/>
      <c r="D42" s="49"/>
      <c r="E42" s="49"/>
      <c r="F42" s="50"/>
    </row>
    <row r="45">
      <c r="A45" s="45" t="s">
        <v>516</v>
      </c>
      <c r="B45" s="46" t="s">
        <v>534</v>
      </c>
    </row>
    <row r="46">
      <c r="A46" s="47" t="s">
        <v>518</v>
      </c>
      <c r="B46" s="47" t="s">
        <v>519</v>
      </c>
      <c r="C46" s="47" t="s">
        <v>520</v>
      </c>
      <c r="D46" s="47" t="s">
        <v>521</v>
      </c>
      <c r="E46" s="47" t="s">
        <v>522</v>
      </c>
      <c r="F46" s="47" t="s">
        <v>523</v>
      </c>
    </row>
    <row r="47">
      <c r="A47" s="48" t="s">
        <v>524</v>
      </c>
      <c r="B47" s="49"/>
      <c r="C47" s="49"/>
      <c r="D47" s="49"/>
      <c r="E47" s="49"/>
      <c r="F47" s="49"/>
    </row>
    <row r="48">
      <c r="A48" s="48" t="s">
        <v>525</v>
      </c>
      <c r="B48" s="49"/>
      <c r="C48" s="50"/>
      <c r="D48" s="49"/>
      <c r="E48" s="50"/>
      <c r="F48" s="49"/>
    </row>
    <row r="49">
      <c r="A49" s="48" t="s">
        <v>526</v>
      </c>
      <c r="B49" s="49"/>
      <c r="C49" s="50"/>
      <c r="D49" s="50"/>
      <c r="E49" s="49"/>
      <c r="F49" s="50"/>
    </row>
    <row r="50">
      <c r="A50" s="48" t="s">
        <v>527</v>
      </c>
      <c r="B50" s="49"/>
      <c r="C50" s="49"/>
      <c r="D50" s="50"/>
      <c r="E50" s="49"/>
      <c r="F50" s="49"/>
    </row>
    <row r="51">
      <c r="A51" s="48" t="s">
        <v>528</v>
      </c>
      <c r="B51" s="49"/>
      <c r="C51" s="49"/>
      <c r="D51" s="50"/>
      <c r="E51" s="49"/>
      <c r="F51" s="49"/>
    </row>
    <row r="52">
      <c r="A52" s="48" t="s">
        <v>529</v>
      </c>
      <c r="B52" s="49"/>
      <c r="C52" s="49"/>
      <c r="D52" s="50"/>
      <c r="E52" s="50"/>
      <c r="F52" s="50"/>
    </row>
    <row r="53">
      <c r="A53" s="48" t="s">
        <v>530</v>
      </c>
      <c r="B53" s="49"/>
      <c r="C53" s="49"/>
      <c r="D53" s="49"/>
      <c r="E53" s="50"/>
      <c r="F53" s="49"/>
    </row>
    <row r="56">
      <c r="A56" s="45" t="s">
        <v>516</v>
      </c>
      <c r="B56" s="46" t="s">
        <v>535</v>
      </c>
    </row>
    <row r="57">
      <c r="A57" s="47" t="s">
        <v>518</v>
      </c>
      <c r="B57" s="47" t="s">
        <v>519</v>
      </c>
      <c r="C57" s="47" t="s">
        <v>520</v>
      </c>
      <c r="D57" s="47" t="s">
        <v>521</v>
      </c>
      <c r="E57" s="47" t="s">
        <v>522</v>
      </c>
      <c r="F57" s="47" t="s">
        <v>523</v>
      </c>
    </row>
    <row r="58">
      <c r="A58" s="48" t="s">
        <v>524</v>
      </c>
      <c r="B58" s="49"/>
      <c r="C58" s="49"/>
      <c r="D58" s="49"/>
      <c r="E58" s="49"/>
      <c r="F58" s="50"/>
    </row>
    <row r="59">
      <c r="A59" s="48" t="s">
        <v>525</v>
      </c>
      <c r="B59" s="49"/>
      <c r="C59" s="49"/>
      <c r="D59" s="49"/>
      <c r="E59" s="50"/>
      <c r="F59" s="49"/>
    </row>
    <row r="60">
      <c r="A60" s="48" t="s">
        <v>526</v>
      </c>
      <c r="B60" s="49"/>
      <c r="C60" s="49"/>
      <c r="D60" s="50"/>
      <c r="E60" s="49"/>
      <c r="F60" s="50"/>
    </row>
    <row r="61">
      <c r="A61" s="48" t="s">
        <v>527</v>
      </c>
      <c r="B61" s="50"/>
      <c r="C61" s="49"/>
      <c r="D61" s="49"/>
      <c r="E61" s="49"/>
      <c r="F61" s="49"/>
    </row>
    <row r="62">
      <c r="A62" s="48" t="s">
        <v>528</v>
      </c>
      <c r="B62" s="49"/>
      <c r="C62" s="49"/>
      <c r="D62" s="49"/>
      <c r="E62" s="49"/>
      <c r="F62" s="49"/>
    </row>
    <row r="63">
      <c r="A63" s="48" t="s">
        <v>529</v>
      </c>
      <c r="B63" s="50"/>
      <c r="C63" s="50"/>
      <c r="D63" s="50"/>
      <c r="E63" s="50"/>
      <c r="F63" s="49"/>
    </row>
    <row r="64">
      <c r="A64" s="48" t="s">
        <v>530</v>
      </c>
      <c r="B64" s="50"/>
      <c r="C64" s="49"/>
      <c r="D64" s="49"/>
      <c r="E64" s="49"/>
      <c r="F64" s="49"/>
    </row>
    <row r="67">
      <c r="A67" s="45" t="s">
        <v>516</v>
      </c>
      <c r="B67" s="46" t="s">
        <v>536</v>
      </c>
    </row>
    <row r="68">
      <c r="A68" s="47" t="s">
        <v>518</v>
      </c>
      <c r="B68" s="47" t="s">
        <v>519</v>
      </c>
      <c r="C68" s="47" t="s">
        <v>520</v>
      </c>
      <c r="D68" s="47" t="s">
        <v>521</v>
      </c>
      <c r="E68" s="47" t="s">
        <v>522</v>
      </c>
      <c r="F68" s="47" t="s">
        <v>523</v>
      </c>
    </row>
    <row r="69">
      <c r="A69" s="48" t="s">
        <v>524</v>
      </c>
      <c r="B69" s="50"/>
      <c r="C69" s="50"/>
      <c r="D69" s="49"/>
      <c r="E69" s="49"/>
      <c r="F69" s="49"/>
    </row>
    <row r="70">
      <c r="A70" s="48" t="s">
        <v>525</v>
      </c>
      <c r="B70" s="49"/>
      <c r="C70" s="49"/>
      <c r="D70" s="49"/>
      <c r="E70" s="49"/>
      <c r="F70" s="49"/>
    </row>
    <row r="71">
      <c r="A71" s="48" t="s">
        <v>526</v>
      </c>
      <c r="B71" s="50"/>
      <c r="C71" s="49"/>
      <c r="D71" s="49"/>
      <c r="E71" s="49"/>
      <c r="F71" s="49"/>
    </row>
    <row r="72">
      <c r="A72" s="48" t="s">
        <v>527</v>
      </c>
      <c r="B72" s="50"/>
      <c r="C72" s="49"/>
      <c r="D72" s="49"/>
      <c r="E72" s="50"/>
      <c r="F72" s="49"/>
    </row>
    <row r="73">
      <c r="A73" s="48" t="s">
        <v>528</v>
      </c>
      <c r="B73" s="49"/>
      <c r="C73" s="50"/>
      <c r="D73" s="49"/>
      <c r="E73" s="49"/>
      <c r="F73" s="49"/>
    </row>
    <row r="74">
      <c r="A74" s="48" t="s">
        <v>529</v>
      </c>
      <c r="B74" s="49"/>
      <c r="C74" s="49"/>
      <c r="D74" s="49"/>
      <c r="E74" s="49"/>
      <c r="F74" s="50"/>
    </row>
    <row r="75">
      <c r="A75" s="48" t="s">
        <v>530</v>
      </c>
      <c r="B75" s="50"/>
      <c r="C75" s="49"/>
      <c r="D75" s="50"/>
      <c r="E75" s="50"/>
      <c r="F75" s="50"/>
    </row>
    <row r="78">
      <c r="A78" s="45" t="s">
        <v>516</v>
      </c>
      <c r="B78" s="46" t="s">
        <v>537</v>
      </c>
    </row>
    <row r="79">
      <c r="A79" s="47" t="s">
        <v>518</v>
      </c>
      <c r="B79" s="47" t="s">
        <v>519</v>
      </c>
      <c r="C79" s="47" t="s">
        <v>520</v>
      </c>
      <c r="D79" s="47" t="s">
        <v>521</v>
      </c>
      <c r="E79" s="47" t="s">
        <v>522</v>
      </c>
      <c r="F79" s="47" t="s">
        <v>523</v>
      </c>
    </row>
    <row r="80">
      <c r="A80" s="48" t="s">
        <v>524</v>
      </c>
      <c r="B80" s="50"/>
      <c r="C80" s="49"/>
      <c r="D80" s="50"/>
      <c r="E80" s="49"/>
      <c r="F80" s="50"/>
    </row>
    <row r="81">
      <c r="A81" s="48" t="s">
        <v>525</v>
      </c>
      <c r="B81" s="49"/>
      <c r="C81" s="49"/>
      <c r="D81" s="49"/>
      <c r="E81" s="49"/>
      <c r="F81" s="49"/>
    </row>
    <row r="82">
      <c r="A82" s="48" t="s">
        <v>526</v>
      </c>
      <c r="B82" s="49"/>
      <c r="C82" s="50"/>
      <c r="D82" s="50"/>
      <c r="E82" s="50"/>
      <c r="F82" s="49"/>
    </row>
    <row r="83">
      <c r="A83" s="48" t="s">
        <v>527</v>
      </c>
      <c r="B83" s="49"/>
      <c r="C83" s="49"/>
      <c r="D83" s="49"/>
      <c r="E83" s="50"/>
      <c r="F83" s="49"/>
    </row>
    <row r="84">
      <c r="A84" s="48" t="s">
        <v>528</v>
      </c>
      <c r="B84" s="49"/>
      <c r="C84" s="49"/>
      <c r="D84" s="50"/>
      <c r="E84" s="50"/>
      <c r="F84" s="50"/>
    </row>
    <row r="85">
      <c r="A85" s="48" t="s">
        <v>529</v>
      </c>
      <c r="B85" s="49"/>
      <c r="C85" s="50"/>
      <c r="D85" s="49"/>
      <c r="E85" s="50"/>
      <c r="F85" s="49"/>
    </row>
    <row r="86">
      <c r="A86" s="48" t="s">
        <v>530</v>
      </c>
      <c r="B86" s="50"/>
      <c r="C86" s="49"/>
      <c r="D86" s="49"/>
      <c r="E86" s="49"/>
      <c r="F86" s="49"/>
    </row>
    <row r="89">
      <c r="A89" s="45" t="s">
        <v>516</v>
      </c>
      <c r="B89" s="46" t="s">
        <v>538</v>
      </c>
    </row>
    <row r="90">
      <c r="A90" s="47" t="s">
        <v>518</v>
      </c>
      <c r="B90" s="47" t="s">
        <v>519</v>
      </c>
      <c r="C90" s="47" t="s">
        <v>520</v>
      </c>
      <c r="D90" s="47" t="s">
        <v>521</v>
      </c>
      <c r="E90" s="47" t="s">
        <v>522</v>
      </c>
      <c r="F90" s="47" t="s">
        <v>523</v>
      </c>
    </row>
    <row r="91">
      <c r="A91" s="48" t="s">
        <v>524</v>
      </c>
      <c r="B91" s="49"/>
      <c r="C91" s="50"/>
      <c r="D91" s="50"/>
      <c r="E91" s="50"/>
      <c r="F91" s="49"/>
    </row>
    <row r="92">
      <c r="A92" s="48" t="s">
        <v>525</v>
      </c>
      <c r="B92" s="49"/>
      <c r="C92" s="49"/>
      <c r="D92" s="50"/>
      <c r="E92" s="49"/>
      <c r="F92" s="49"/>
    </row>
    <row r="93">
      <c r="A93" s="48" t="s">
        <v>526</v>
      </c>
      <c r="B93" s="49"/>
      <c r="C93" s="50"/>
      <c r="D93" s="49"/>
      <c r="E93" s="49"/>
      <c r="F93" s="49"/>
    </row>
    <row r="94">
      <c r="A94" s="48" t="s">
        <v>527</v>
      </c>
      <c r="B94" s="49"/>
      <c r="C94" s="49"/>
      <c r="D94" s="50"/>
      <c r="E94" s="50"/>
      <c r="F94" s="49"/>
    </row>
    <row r="95">
      <c r="A95" s="48" t="s">
        <v>528</v>
      </c>
      <c r="B95" s="50"/>
      <c r="C95" s="49"/>
      <c r="D95" s="49"/>
      <c r="E95" s="49"/>
      <c r="F95" s="49"/>
    </row>
    <row r="96">
      <c r="A96" s="48" t="s">
        <v>529</v>
      </c>
      <c r="B96" s="49"/>
      <c r="C96" s="50"/>
      <c r="D96" s="49"/>
      <c r="E96" s="49"/>
      <c r="F96" s="49"/>
    </row>
    <row r="97">
      <c r="A97" s="48" t="s">
        <v>530</v>
      </c>
      <c r="B97" s="50"/>
      <c r="C97" s="49"/>
      <c r="D97" s="49"/>
      <c r="E97" s="49"/>
      <c r="F97" s="50"/>
    </row>
    <row r="100">
      <c r="A100" s="45" t="s">
        <v>516</v>
      </c>
      <c r="B100" s="46" t="s">
        <v>539</v>
      </c>
    </row>
    <row r="101">
      <c r="A101" s="47" t="s">
        <v>518</v>
      </c>
      <c r="B101" s="47" t="s">
        <v>519</v>
      </c>
      <c r="C101" s="47" t="s">
        <v>520</v>
      </c>
      <c r="D101" s="47" t="s">
        <v>521</v>
      </c>
      <c r="E101" s="47" t="s">
        <v>522</v>
      </c>
      <c r="F101" s="47" t="s">
        <v>523</v>
      </c>
    </row>
    <row r="102">
      <c r="A102" s="48" t="s">
        <v>524</v>
      </c>
      <c r="B102" s="49"/>
      <c r="C102" s="50"/>
      <c r="D102" s="50"/>
      <c r="E102" s="50"/>
      <c r="F102" s="49"/>
    </row>
    <row r="103">
      <c r="A103" s="48" t="s">
        <v>525</v>
      </c>
      <c r="B103" s="50"/>
      <c r="C103" s="49"/>
      <c r="D103" s="50"/>
      <c r="E103" s="50"/>
      <c r="F103" s="49"/>
    </row>
    <row r="104">
      <c r="A104" s="48" t="s">
        <v>526</v>
      </c>
      <c r="B104" s="50"/>
      <c r="C104" s="49"/>
      <c r="D104" s="49"/>
      <c r="E104" s="50"/>
      <c r="F104" s="49"/>
    </row>
    <row r="105">
      <c r="A105" s="48" t="s">
        <v>527</v>
      </c>
      <c r="B105" s="49"/>
      <c r="C105" s="50"/>
      <c r="D105" s="49"/>
      <c r="E105" s="50"/>
      <c r="F105" s="49"/>
    </row>
    <row r="106">
      <c r="A106" s="48" t="s">
        <v>528</v>
      </c>
      <c r="B106" s="50"/>
      <c r="C106" s="50"/>
      <c r="D106" s="49"/>
      <c r="E106" s="50"/>
      <c r="F106" s="50"/>
    </row>
    <row r="107">
      <c r="A107" s="48" t="s">
        <v>529</v>
      </c>
      <c r="B107" s="49"/>
      <c r="C107" s="49"/>
      <c r="D107" s="49"/>
      <c r="E107" s="49"/>
      <c r="F107" s="49"/>
    </row>
    <row r="108">
      <c r="A108" s="48" t="s">
        <v>530</v>
      </c>
      <c r="B108" s="49"/>
      <c r="C108" s="50"/>
      <c r="D108" s="49"/>
      <c r="E108" s="50"/>
      <c r="F108" s="49"/>
    </row>
    <row r="111">
      <c r="A111" s="45" t="s">
        <v>516</v>
      </c>
      <c r="B111" s="46" t="s">
        <v>540</v>
      </c>
    </row>
    <row r="112">
      <c r="A112" s="47" t="s">
        <v>518</v>
      </c>
      <c r="B112" s="47" t="s">
        <v>519</v>
      </c>
      <c r="C112" s="47" t="s">
        <v>520</v>
      </c>
      <c r="D112" s="47" t="s">
        <v>521</v>
      </c>
      <c r="E112" s="47" t="s">
        <v>522</v>
      </c>
      <c r="F112" s="47" t="s">
        <v>523</v>
      </c>
    </row>
    <row r="113">
      <c r="A113" s="48" t="s">
        <v>524</v>
      </c>
      <c r="B113" s="49"/>
      <c r="C113" s="50"/>
      <c r="D113" s="50"/>
      <c r="E113" s="49"/>
      <c r="F113" s="50"/>
    </row>
    <row r="114">
      <c r="A114" s="48" t="s">
        <v>525</v>
      </c>
      <c r="B114" s="49"/>
      <c r="C114" s="49"/>
      <c r="D114" s="49"/>
      <c r="E114" s="49"/>
      <c r="F114" s="50"/>
    </row>
    <row r="115">
      <c r="A115" s="48" t="s">
        <v>526</v>
      </c>
      <c r="B115" s="49"/>
      <c r="C115" s="50"/>
      <c r="D115" s="49"/>
      <c r="E115" s="50"/>
      <c r="F115" s="50"/>
    </row>
    <row r="116">
      <c r="A116" s="48" t="s">
        <v>527</v>
      </c>
      <c r="B116" s="50"/>
      <c r="C116" s="49"/>
      <c r="D116" s="49"/>
      <c r="E116" s="49"/>
      <c r="F116" s="49"/>
    </row>
    <row r="117">
      <c r="A117" s="48" t="s">
        <v>528</v>
      </c>
      <c r="B117" s="49"/>
      <c r="C117" s="50"/>
      <c r="D117" s="50"/>
      <c r="E117" s="49"/>
      <c r="F117" s="49"/>
    </row>
    <row r="118">
      <c r="A118" s="48" t="s">
        <v>529</v>
      </c>
      <c r="B118" s="50"/>
      <c r="C118" s="49"/>
      <c r="D118" s="49"/>
      <c r="E118" s="49"/>
      <c r="F118" s="49"/>
    </row>
    <row r="119">
      <c r="A119" s="48" t="s">
        <v>530</v>
      </c>
      <c r="B119" s="49"/>
      <c r="C119" s="49"/>
      <c r="D119" s="49"/>
      <c r="E119" s="49"/>
      <c r="F119" s="50"/>
    </row>
    <row r="122">
      <c r="A122" s="45" t="s">
        <v>516</v>
      </c>
      <c r="B122" s="46" t="s">
        <v>541</v>
      </c>
    </row>
    <row r="123">
      <c r="A123" s="47" t="s">
        <v>518</v>
      </c>
      <c r="B123" s="47" t="s">
        <v>519</v>
      </c>
      <c r="C123" s="47" t="s">
        <v>520</v>
      </c>
      <c r="D123" s="47" t="s">
        <v>521</v>
      </c>
      <c r="E123" s="47" t="s">
        <v>522</v>
      </c>
      <c r="F123" s="47" t="s">
        <v>523</v>
      </c>
    </row>
    <row r="124">
      <c r="A124" s="48" t="s">
        <v>524</v>
      </c>
      <c r="B124" s="49"/>
      <c r="C124" s="49"/>
      <c r="D124" s="49"/>
      <c r="E124" s="49"/>
      <c r="F124" s="49"/>
    </row>
    <row r="125">
      <c r="A125" s="48" t="s">
        <v>525</v>
      </c>
      <c r="B125" s="50"/>
      <c r="C125" s="49"/>
      <c r="D125" s="49"/>
      <c r="E125" s="49"/>
      <c r="F125" s="49"/>
    </row>
    <row r="126">
      <c r="A126" s="48" t="s">
        <v>526</v>
      </c>
      <c r="B126" s="49"/>
      <c r="C126" s="49"/>
      <c r="D126" s="49"/>
      <c r="E126" s="49"/>
      <c r="F126" s="49"/>
    </row>
    <row r="127">
      <c r="A127" s="48" t="s">
        <v>527</v>
      </c>
      <c r="B127" s="50"/>
      <c r="C127" s="49"/>
      <c r="D127" s="49"/>
      <c r="E127" s="50"/>
      <c r="F127" s="50"/>
    </row>
    <row r="128">
      <c r="A128" s="48" t="s">
        <v>528</v>
      </c>
      <c r="B128" s="49"/>
      <c r="C128" s="50"/>
      <c r="D128" s="49"/>
      <c r="E128" s="49"/>
      <c r="F128" s="50"/>
    </row>
    <row r="129">
      <c r="A129" s="48" t="s">
        <v>529</v>
      </c>
      <c r="B129" s="49"/>
      <c r="C129" s="50"/>
      <c r="D129" s="49"/>
      <c r="E129" s="49"/>
      <c r="F129" s="49"/>
    </row>
    <row r="130">
      <c r="A130" s="48" t="s">
        <v>530</v>
      </c>
      <c r="B130" s="50"/>
      <c r="C130" s="49"/>
      <c r="D130" s="49"/>
      <c r="E130" s="49"/>
      <c r="F130" s="50"/>
    </row>
    <row r="133">
      <c r="A133" s="45" t="s">
        <v>516</v>
      </c>
      <c r="B133" s="46" t="s">
        <v>542</v>
      </c>
    </row>
    <row r="134">
      <c r="A134" s="47" t="s">
        <v>518</v>
      </c>
      <c r="B134" s="47" t="s">
        <v>519</v>
      </c>
      <c r="C134" s="47" t="s">
        <v>520</v>
      </c>
      <c r="D134" s="47" t="s">
        <v>521</v>
      </c>
      <c r="E134" s="47" t="s">
        <v>522</v>
      </c>
      <c r="F134" s="47" t="s">
        <v>523</v>
      </c>
    </row>
    <row r="135">
      <c r="A135" s="48" t="s">
        <v>524</v>
      </c>
      <c r="B135" s="49"/>
      <c r="C135" s="49"/>
      <c r="D135" s="49"/>
      <c r="E135" s="49"/>
      <c r="F135" s="49"/>
    </row>
    <row r="136">
      <c r="A136" s="48" t="s">
        <v>525</v>
      </c>
      <c r="B136" s="49"/>
      <c r="C136" s="49"/>
      <c r="D136" s="49"/>
      <c r="E136" s="49"/>
      <c r="F136" s="49"/>
    </row>
    <row r="137">
      <c r="A137" s="48" t="s">
        <v>526</v>
      </c>
      <c r="B137" s="49"/>
      <c r="C137" s="49"/>
      <c r="D137" s="49"/>
      <c r="E137" s="49"/>
      <c r="F137" s="49"/>
    </row>
    <row r="138">
      <c r="A138" s="48" t="s">
        <v>527</v>
      </c>
      <c r="B138" s="50"/>
      <c r="C138" s="49"/>
      <c r="D138" s="50"/>
      <c r="E138" s="49"/>
      <c r="F138" s="49"/>
    </row>
    <row r="139">
      <c r="A139" s="48" t="s">
        <v>528</v>
      </c>
      <c r="B139" s="49"/>
      <c r="C139" s="49"/>
      <c r="D139" s="49"/>
      <c r="E139" s="49"/>
      <c r="F139" s="49"/>
    </row>
    <row r="140">
      <c r="A140" s="48" t="s">
        <v>529</v>
      </c>
      <c r="B140" s="49"/>
      <c r="C140" s="49"/>
      <c r="D140" s="49"/>
      <c r="E140" s="50"/>
      <c r="F140" s="49"/>
    </row>
    <row r="141">
      <c r="A141" s="48" t="s">
        <v>530</v>
      </c>
      <c r="B141" s="50"/>
      <c r="C141" s="49"/>
      <c r="D141" s="49"/>
      <c r="E141" s="49"/>
      <c r="F141" s="49"/>
    </row>
    <row r="144">
      <c r="A144" s="45" t="s">
        <v>516</v>
      </c>
      <c r="B144" s="46" t="s">
        <v>543</v>
      </c>
    </row>
    <row r="145">
      <c r="A145" s="47" t="s">
        <v>518</v>
      </c>
      <c r="B145" s="47" t="s">
        <v>519</v>
      </c>
      <c r="C145" s="47" t="s">
        <v>520</v>
      </c>
      <c r="D145" s="47" t="s">
        <v>521</v>
      </c>
      <c r="E145" s="47" t="s">
        <v>522</v>
      </c>
      <c r="F145" s="47" t="s">
        <v>523</v>
      </c>
    </row>
    <row r="146">
      <c r="A146" s="48" t="s">
        <v>524</v>
      </c>
      <c r="B146" s="49"/>
      <c r="C146" s="50"/>
      <c r="D146" s="49"/>
      <c r="E146" s="49"/>
      <c r="F146" s="50"/>
    </row>
    <row r="147">
      <c r="A147" s="48" t="s">
        <v>525</v>
      </c>
      <c r="B147" s="50"/>
      <c r="C147" s="49"/>
      <c r="D147" s="49"/>
      <c r="E147" s="49"/>
      <c r="F147" s="49"/>
    </row>
    <row r="148">
      <c r="A148" s="48" t="s">
        <v>526</v>
      </c>
      <c r="B148" s="49"/>
      <c r="C148" s="50"/>
      <c r="D148" s="50"/>
      <c r="E148" s="50"/>
      <c r="F148" s="50"/>
    </row>
    <row r="149">
      <c r="A149" s="48" t="s">
        <v>527</v>
      </c>
      <c r="B149" s="49"/>
      <c r="C149" s="50"/>
      <c r="D149" s="49"/>
      <c r="E149" s="49"/>
      <c r="F149" s="49"/>
    </row>
    <row r="150">
      <c r="A150" s="48" t="s">
        <v>528</v>
      </c>
      <c r="B150" s="49"/>
      <c r="C150" s="49"/>
      <c r="D150" s="50"/>
      <c r="E150" s="49"/>
      <c r="F150" s="49"/>
    </row>
    <row r="151">
      <c r="A151" s="48" t="s">
        <v>529</v>
      </c>
      <c r="B151" s="49"/>
      <c r="C151" s="49"/>
      <c r="D151" s="50"/>
      <c r="E151" s="49"/>
      <c r="F151" s="49"/>
    </row>
    <row r="152">
      <c r="A152" s="48" t="s">
        <v>530</v>
      </c>
      <c r="B152" s="49"/>
      <c r="C152" s="50"/>
      <c r="D152" s="49"/>
      <c r="E152" s="49"/>
      <c r="F152" s="49"/>
    </row>
    <row r="155">
      <c r="A155" s="45" t="s">
        <v>516</v>
      </c>
      <c r="B155" s="46" t="s">
        <v>544</v>
      </c>
    </row>
    <row r="156">
      <c r="A156" s="47" t="s">
        <v>518</v>
      </c>
      <c r="B156" s="47" t="s">
        <v>519</v>
      </c>
      <c r="C156" s="47" t="s">
        <v>520</v>
      </c>
      <c r="D156" s="47" t="s">
        <v>521</v>
      </c>
      <c r="E156" s="47" t="s">
        <v>522</v>
      </c>
      <c r="F156" s="47" t="s">
        <v>523</v>
      </c>
    </row>
    <row r="157">
      <c r="A157" s="48" t="s">
        <v>524</v>
      </c>
      <c r="B157" s="49"/>
      <c r="C157" s="49"/>
      <c r="D157" s="49"/>
      <c r="E157" s="49"/>
      <c r="F157" s="50"/>
    </row>
    <row r="158">
      <c r="A158" s="48" t="s">
        <v>525</v>
      </c>
      <c r="B158" s="50"/>
      <c r="C158" s="49"/>
      <c r="D158" s="49"/>
      <c r="E158" s="49"/>
      <c r="F158" s="49"/>
    </row>
    <row r="159">
      <c r="A159" s="48" t="s">
        <v>526</v>
      </c>
      <c r="B159" s="49"/>
      <c r="C159" s="49"/>
      <c r="D159" s="49"/>
      <c r="E159" s="49"/>
      <c r="F159" s="49"/>
    </row>
    <row r="160">
      <c r="A160" s="48" t="s">
        <v>527</v>
      </c>
      <c r="B160" s="50"/>
      <c r="C160" s="50"/>
      <c r="D160" s="49"/>
      <c r="E160" s="49"/>
      <c r="F160" s="49"/>
    </row>
    <row r="161">
      <c r="A161" s="48" t="s">
        <v>528</v>
      </c>
      <c r="B161" s="49"/>
      <c r="C161" s="50"/>
      <c r="D161" s="50"/>
      <c r="E161" s="49"/>
      <c r="F161" s="49"/>
    </row>
    <row r="162">
      <c r="A162" s="48" t="s">
        <v>529</v>
      </c>
      <c r="B162" s="49"/>
      <c r="C162" s="49"/>
      <c r="D162" s="49"/>
      <c r="E162" s="50"/>
      <c r="F162" s="49"/>
    </row>
    <row r="163">
      <c r="A163" s="48" t="s">
        <v>530</v>
      </c>
      <c r="B163" s="49"/>
      <c r="C163" s="49"/>
      <c r="D163" s="50"/>
      <c r="E163" s="49"/>
      <c r="F163" s="49"/>
    </row>
    <row r="166">
      <c r="A166" s="45" t="s">
        <v>516</v>
      </c>
      <c r="B166" s="46" t="s">
        <v>545</v>
      </c>
    </row>
    <row r="167">
      <c r="A167" s="47" t="s">
        <v>518</v>
      </c>
      <c r="B167" s="47" t="s">
        <v>519</v>
      </c>
      <c r="C167" s="47" t="s">
        <v>520</v>
      </c>
      <c r="D167" s="47" t="s">
        <v>521</v>
      </c>
      <c r="E167" s="47" t="s">
        <v>522</v>
      </c>
      <c r="F167" s="47" t="s">
        <v>523</v>
      </c>
    </row>
    <row r="168">
      <c r="A168" s="48" t="s">
        <v>524</v>
      </c>
      <c r="B168" s="49"/>
      <c r="C168" s="49"/>
      <c r="D168" s="49"/>
      <c r="E168" s="49"/>
      <c r="F168" s="49"/>
    </row>
    <row r="169">
      <c r="A169" s="48" t="s">
        <v>525</v>
      </c>
      <c r="B169" s="49"/>
      <c r="C169" s="49"/>
      <c r="D169" s="49"/>
      <c r="E169" s="50"/>
      <c r="F169" s="49"/>
    </row>
    <row r="170">
      <c r="A170" s="48" t="s">
        <v>526</v>
      </c>
      <c r="B170" s="49"/>
      <c r="C170" s="49"/>
      <c r="D170" s="49"/>
      <c r="E170" s="50"/>
      <c r="F170" s="49"/>
    </row>
    <row r="171">
      <c r="A171" s="48" t="s">
        <v>527</v>
      </c>
      <c r="B171" s="49"/>
      <c r="C171" s="50"/>
      <c r="D171" s="49"/>
      <c r="E171" s="49"/>
      <c r="F171" s="49"/>
    </row>
    <row r="172">
      <c r="A172" s="48" t="s">
        <v>528</v>
      </c>
      <c r="B172" s="49"/>
      <c r="C172" s="49"/>
      <c r="D172" s="49"/>
      <c r="E172" s="49"/>
      <c r="F172" s="50"/>
    </row>
    <row r="173">
      <c r="A173" s="48" t="s">
        <v>529</v>
      </c>
      <c r="B173" s="49"/>
      <c r="C173" s="50"/>
      <c r="D173" s="49"/>
      <c r="E173" s="49"/>
      <c r="F173" s="50"/>
    </row>
    <row r="174">
      <c r="A174" s="48" t="s">
        <v>530</v>
      </c>
      <c r="B174" s="50"/>
      <c r="C174" s="49"/>
      <c r="D174" s="50"/>
      <c r="E174" s="49"/>
      <c r="F174" s="49"/>
    </row>
    <row r="177">
      <c r="A177" s="45" t="s">
        <v>516</v>
      </c>
      <c r="B177" s="46" t="s">
        <v>546</v>
      </c>
    </row>
    <row r="178">
      <c r="A178" s="47" t="s">
        <v>518</v>
      </c>
      <c r="B178" s="47" t="s">
        <v>519</v>
      </c>
      <c r="C178" s="47" t="s">
        <v>520</v>
      </c>
      <c r="D178" s="47" t="s">
        <v>521</v>
      </c>
      <c r="E178" s="47" t="s">
        <v>522</v>
      </c>
      <c r="F178" s="47" t="s">
        <v>523</v>
      </c>
    </row>
    <row r="179">
      <c r="A179" s="48" t="s">
        <v>524</v>
      </c>
      <c r="B179" s="49"/>
      <c r="C179" s="50"/>
      <c r="D179" s="50"/>
      <c r="E179" s="49"/>
      <c r="F179" s="49"/>
    </row>
    <row r="180">
      <c r="A180" s="48" t="s">
        <v>525</v>
      </c>
      <c r="B180" s="49"/>
      <c r="C180" s="49"/>
      <c r="D180" s="49"/>
      <c r="E180" s="49"/>
      <c r="F180" s="49"/>
    </row>
    <row r="181">
      <c r="A181" s="48" t="s">
        <v>526</v>
      </c>
      <c r="B181" s="49"/>
      <c r="C181" s="50"/>
      <c r="D181" s="50"/>
      <c r="E181" s="49"/>
      <c r="F181" s="49"/>
    </row>
    <row r="182">
      <c r="A182" s="48" t="s">
        <v>527</v>
      </c>
      <c r="B182" s="50"/>
      <c r="C182" s="49"/>
      <c r="D182" s="50"/>
      <c r="E182" s="49"/>
      <c r="F182" s="49"/>
    </row>
    <row r="183">
      <c r="A183" s="48" t="s">
        <v>528</v>
      </c>
      <c r="B183" s="49"/>
      <c r="C183" s="49"/>
      <c r="D183" s="49"/>
      <c r="E183" s="49"/>
      <c r="F183" s="50"/>
    </row>
    <row r="184">
      <c r="A184" s="48" t="s">
        <v>529</v>
      </c>
      <c r="B184" s="49"/>
      <c r="C184" s="49"/>
      <c r="D184" s="49"/>
      <c r="E184" s="49"/>
      <c r="F184" s="50"/>
    </row>
    <row r="185">
      <c r="A185" s="48" t="s">
        <v>530</v>
      </c>
      <c r="B185" s="50"/>
      <c r="C185" s="49"/>
      <c r="D185" s="49"/>
      <c r="E185" s="50"/>
      <c r="F185" s="50"/>
    </row>
    <row r="188">
      <c r="A188" s="45" t="s">
        <v>516</v>
      </c>
      <c r="B188" s="46" t="s">
        <v>547</v>
      </c>
    </row>
    <row r="189">
      <c r="A189" s="47" t="s">
        <v>518</v>
      </c>
      <c r="B189" s="47" t="s">
        <v>519</v>
      </c>
      <c r="C189" s="47" t="s">
        <v>520</v>
      </c>
      <c r="D189" s="47" t="s">
        <v>521</v>
      </c>
      <c r="E189" s="47" t="s">
        <v>522</v>
      </c>
      <c r="F189" s="47" t="s">
        <v>523</v>
      </c>
    </row>
    <row r="190">
      <c r="A190" s="48" t="s">
        <v>524</v>
      </c>
      <c r="B190" s="49"/>
      <c r="C190" s="49"/>
      <c r="D190" s="49"/>
      <c r="E190" s="49"/>
      <c r="F190" s="49"/>
    </row>
    <row r="191">
      <c r="A191" s="48" t="s">
        <v>525</v>
      </c>
      <c r="B191" s="50"/>
      <c r="C191" s="49"/>
      <c r="D191" s="49"/>
      <c r="E191" s="50"/>
      <c r="F191" s="50"/>
    </row>
    <row r="192">
      <c r="A192" s="48" t="s">
        <v>526</v>
      </c>
      <c r="B192" s="49"/>
      <c r="C192" s="49"/>
      <c r="D192" s="50"/>
      <c r="E192" s="49"/>
      <c r="F192" s="49"/>
    </row>
    <row r="193">
      <c r="A193" s="48" t="s">
        <v>527</v>
      </c>
      <c r="B193" s="49"/>
      <c r="C193" s="49"/>
      <c r="D193" s="50"/>
      <c r="E193" s="50"/>
      <c r="F193" s="49"/>
    </row>
    <row r="194">
      <c r="A194" s="48" t="s">
        <v>528</v>
      </c>
      <c r="B194" s="49"/>
      <c r="C194" s="49"/>
      <c r="D194" s="49"/>
      <c r="E194" s="49"/>
      <c r="F194" s="49"/>
    </row>
    <row r="195">
      <c r="A195" s="48" t="s">
        <v>529</v>
      </c>
      <c r="B195" s="49"/>
      <c r="C195" s="50"/>
      <c r="D195" s="49"/>
      <c r="E195" s="49"/>
      <c r="F195" s="49"/>
    </row>
    <row r="196">
      <c r="A196" s="48" t="s">
        <v>530</v>
      </c>
      <c r="B196" s="49"/>
      <c r="C196" s="49"/>
      <c r="D196" s="49"/>
      <c r="E196" s="50"/>
      <c r="F196" s="49"/>
    </row>
    <row r="199">
      <c r="A199" s="45" t="s">
        <v>516</v>
      </c>
      <c r="B199" s="46" t="s">
        <v>548</v>
      </c>
    </row>
    <row r="200">
      <c r="A200" s="47" t="s">
        <v>518</v>
      </c>
      <c r="B200" s="47" t="s">
        <v>519</v>
      </c>
      <c r="C200" s="47" t="s">
        <v>520</v>
      </c>
      <c r="D200" s="47" t="s">
        <v>521</v>
      </c>
      <c r="E200" s="47" t="s">
        <v>522</v>
      </c>
      <c r="F200" s="47" t="s">
        <v>523</v>
      </c>
    </row>
    <row r="201">
      <c r="A201" s="48" t="s">
        <v>524</v>
      </c>
      <c r="B201" s="49"/>
      <c r="C201" s="49"/>
      <c r="D201" s="49"/>
      <c r="E201" s="50"/>
      <c r="F201" s="49"/>
    </row>
    <row r="202">
      <c r="A202" s="48" t="s">
        <v>525</v>
      </c>
      <c r="B202" s="49"/>
      <c r="C202" s="50"/>
      <c r="D202" s="50"/>
      <c r="E202" s="50"/>
      <c r="F202" s="49"/>
    </row>
    <row r="203">
      <c r="A203" s="48" t="s">
        <v>526</v>
      </c>
      <c r="B203" s="50"/>
      <c r="C203" s="49"/>
      <c r="D203" s="49"/>
      <c r="E203" s="50"/>
      <c r="F203" s="50"/>
    </row>
    <row r="204">
      <c r="A204" s="48" t="s">
        <v>527</v>
      </c>
      <c r="B204" s="49"/>
      <c r="C204" s="49"/>
      <c r="D204" s="49"/>
      <c r="E204" s="49"/>
      <c r="F204" s="49"/>
    </row>
    <row r="205">
      <c r="A205" s="48" t="s">
        <v>528</v>
      </c>
      <c r="B205" s="49"/>
      <c r="C205" s="50"/>
      <c r="D205" s="49"/>
      <c r="E205" s="49"/>
      <c r="F205" s="50"/>
    </row>
    <row r="206">
      <c r="A206" s="48" t="s">
        <v>529</v>
      </c>
      <c r="B206" s="50"/>
      <c r="C206" s="50"/>
      <c r="D206" s="50"/>
      <c r="E206" s="50"/>
      <c r="F206" s="50"/>
    </row>
    <row r="207">
      <c r="A207" s="48" t="s">
        <v>530</v>
      </c>
      <c r="B207" s="50"/>
      <c r="C207" s="49"/>
      <c r="D207" s="49"/>
      <c r="E207" s="49"/>
      <c r="F207" s="49"/>
    </row>
    <row r="210">
      <c r="A210" s="45" t="s">
        <v>516</v>
      </c>
      <c r="B210" s="46" t="s">
        <v>549</v>
      </c>
    </row>
    <row r="211">
      <c r="A211" s="47" t="s">
        <v>518</v>
      </c>
      <c r="B211" s="47" t="s">
        <v>519</v>
      </c>
      <c r="C211" s="47" t="s">
        <v>520</v>
      </c>
      <c r="D211" s="47" t="s">
        <v>521</v>
      </c>
      <c r="E211" s="47" t="s">
        <v>522</v>
      </c>
      <c r="F211" s="47" t="s">
        <v>523</v>
      </c>
    </row>
    <row r="212">
      <c r="A212" s="48" t="s">
        <v>524</v>
      </c>
      <c r="B212" s="49"/>
      <c r="C212" s="49"/>
      <c r="D212" s="50"/>
      <c r="E212" s="49"/>
      <c r="F212" s="49"/>
    </row>
    <row r="213">
      <c r="A213" s="48" t="s">
        <v>525</v>
      </c>
      <c r="B213" s="50"/>
      <c r="C213" s="50"/>
      <c r="D213" s="49"/>
      <c r="E213" s="50"/>
      <c r="F213" s="49"/>
    </row>
    <row r="214">
      <c r="A214" s="48" t="s">
        <v>526</v>
      </c>
      <c r="B214" s="49"/>
      <c r="C214" s="49"/>
      <c r="D214" s="49"/>
      <c r="E214" s="49"/>
      <c r="F214" s="49"/>
    </row>
    <row r="215">
      <c r="A215" s="48" t="s">
        <v>527</v>
      </c>
      <c r="B215" s="50"/>
      <c r="C215" s="49"/>
      <c r="D215" s="49"/>
      <c r="E215" s="50"/>
      <c r="F215" s="49"/>
    </row>
    <row r="216">
      <c r="A216" s="48" t="s">
        <v>528</v>
      </c>
      <c r="B216" s="49"/>
      <c r="C216" s="50"/>
      <c r="D216" s="49"/>
      <c r="E216" s="49"/>
      <c r="F216" s="49"/>
    </row>
    <row r="217">
      <c r="A217" s="48" t="s">
        <v>529</v>
      </c>
      <c r="B217" s="49"/>
      <c r="C217" s="50"/>
      <c r="D217" s="49"/>
      <c r="E217" s="49"/>
      <c r="F217" s="50"/>
    </row>
    <row r="218">
      <c r="A218" s="48" t="s">
        <v>530</v>
      </c>
      <c r="B218" s="50"/>
      <c r="C218" s="49"/>
      <c r="D218" s="49"/>
      <c r="E218" s="49"/>
      <c r="F218" s="50"/>
    </row>
    <row r="221">
      <c r="A221" s="45" t="s">
        <v>516</v>
      </c>
      <c r="B221" s="46" t="s">
        <v>550</v>
      </c>
    </row>
    <row r="222">
      <c r="A222" s="47" t="s">
        <v>518</v>
      </c>
      <c r="B222" s="47" t="s">
        <v>519</v>
      </c>
      <c r="C222" s="47" t="s">
        <v>520</v>
      </c>
      <c r="D222" s="47" t="s">
        <v>521</v>
      </c>
      <c r="E222" s="47" t="s">
        <v>522</v>
      </c>
      <c r="F222" s="47" t="s">
        <v>523</v>
      </c>
    </row>
    <row r="223">
      <c r="A223" s="48" t="s">
        <v>524</v>
      </c>
      <c r="B223" s="50"/>
      <c r="C223" s="49"/>
      <c r="D223" s="49"/>
      <c r="E223" s="49"/>
      <c r="F223" s="50"/>
    </row>
    <row r="224">
      <c r="A224" s="48" t="s">
        <v>525</v>
      </c>
      <c r="B224" s="49"/>
      <c r="C224" s="49"/>
      <c r="D224" s="49"/>
      <c r="E224" s="49"/>
      <c r="F224" s="50"/>
    </row>
    <row r="225">
      <c r="A225" s="48" t="s">
        <v>526</v>
      </c>
      <c r="B225" s="49"/>
      <c r="C225" s="49"/>
      <c r="D225" s="49"/>
      <c r="E225" s="50"/>
      <c r="F225" s="49"/>
    </row>
    <row r="226">
      <c r="A226" s="48" t="s">
        <v>527</v>
      </c>
      <c r="B226" s="49"/>
      <c r="C226" s="49"/>
      <c r="D226" s="49"/>
      <c r="E226" s="49"/>
      <c r="F226" s="50"/>
    </row>
    <row r="227">
      <c r="A227" s="48" t="s">
        <v>528</v>
      </c>
      <c r="B227" s="49"/>
      <c r="C227" s="49"/>
      <c r="D227" s="49"/>
      <c r="E227" s="49"/>
      <c r="F227" s="49"/>
    </row>
    <row r="228">
      <c r="A228" s="48" t="s">
        <v>529</v>
      </c>
      <c r="B228" s="49"/>
      <c r="C228" s="49"/>
      <c r="D228" s="49"/>
      <c r="E228" s="49"/>
      <c r="F228" s="49"/>
    </row>
    <row r="229">
      <c r="A229" s="48" t="s">
        <v>530</v>
      </c>
      <c r="B229" s="49"/>
      <c r="C229" s="49"/>
      <c r="D229" s="49"/>
      <c r="E229" s="49"/>
      <c r="F229" s="49"/>
    </row>
    <row r="232">
      <c r="A232" s="45" t="s">
        <v>516</v>
      </c>
      <c r="B232" s="46" t="s">
        <v>551</v>
      </c>
    </row>
    <row r="233">
      <c r="A233" s="47" t="s">
        <v>518</v>
      </c>
      <c r="B233" s="47" t="s">
        <v>519</v>
      </c>
      <c r="C233" s="47" t="s">
        <v>520</v>
      </c>
      <c r="D233" s="47" t="s">
        <v>521</v>
      </c>
      <c r="E233" s="47" t="s">
        <v>522</v>
      </c>
      <c r="F233" s="47" t="s">
        <v>523</v>
      </c>
    </row>
    <row r="234">
      <c r="A234" s="48" t="s">
        <v>524</v>
      </c>
      <c r="B234" s="50"/>
      <c r="C234" s="49"/>
      <c r="D234" s="50"/>
      <c r="E234" s="49"/>
      <c r="F234" s="49"/>
    </row>
    <row r="235">
      <c r="A235" s="48" t="s">
        <v>525</v>
      </c>
      <c r="B235" s="50"/>
      <c r="C235" s="50"/>
      <c r="D235" s="50"/>
      <c r="E235" s="49"/>
      <c r="F235" s="49"/>
    </row>
    <row r="236">
      <c r="A236" s="48" t="s">
        <v>526</v>
      </c>
      <c r="B236" s="49"/>
      <c r="C236" s="49"/>
      <c r="D236" s="50"/>
      <c r="E236" s="49"/>
      <c r="F236" s="49"/>
    </row>
    <row r="237">
      <c r="A237" s="48" t="s">
        <v>527</v>
      </c>
      <c r="B237" s="49"/>
      <c r="C237" s="49"/>
      <c r="D237" s="50"/>
      <c r="E237" s="50"/>
      <c r="F237" s="50"/>
    </row>
    <row r="238">
      <c r="A238" s="48" t="s">
        <v>528</v>
      </c>
      <c r="B238" s="49"/>
      <c r="C238" s="50"/>
      <c r="D238" s="50"/>
      <c r="E238" s="50"/>
      <c r="F238" s="49"/>
    </row>
    <row r="239">
      <c r="A239" s="48" t="s">
        <v>529</v>
      </c>
      <c r="B239" s="49"/>
      <c r="C239" s="50"/>
      <c r="D239" s="49"/>
      <c r="E239" s="49"/>
      <c r="F239" s="49"/>
    </row>
    <row r="240">
      <c r="A240" s="48" t="s">
        <v>530</v>
      </c>
      <c r="B240" s="49"/>
      <c r="C240" s="50"/>
      <c r="D240" s="50"/>
      <c r="E240" s="49"/>
      <c r="F240" s="49"/>
    </row>
    <row r="243">
      <c r="A243" s="45" t="s">
        <v>516</v>
      </c>
      <c r="B243" s="46" t="s">
        <v>552</v>
      </c>
    </row>
    <row r="244">
      <c r="A244" s="47" t="s">
        <v>518</v>
      </c>
      <c r="B244" s="47" t="s">
        <v>519</v>
      </c>
      <c r="C244" s="47" t="s">
        <v>520</v>
      </c>
      <c r="D244" s="47" t="s">
        <v>521</v>
      </c>
      <c r="E244" s="47" t="s">
        <v>522</v>
      </c>
      <c r="F244" s="47" t="s">
        <v>523</v>
      </c>
    </row>
    <row r="245">
      <c r="A245" s="48" t="s">
        <v>524</v>
      </c>
      <c r="B245" s="50"/>
      <c r="C245" s="49"/>
      <c r="D245" s="50"/>
      <c r="E245" s="49"/>
      <c r="F245" s="49"/>
    </row>
    <row r="246">
      <c r="A246" s="48" t="s">
        <v>525</v>
      </c>
      <c r="B246" s="49"/>
      <c r="C246" s="49"/>
      <c r="D246" s="50"/>
      <c r="E246" s="49"/>
      <c r="F246" s="49"/>
    </row>
    <row r="247">
      <c r="A247" s="48" t="s">
        <v>526</v>
      </c>
      <c r="B247" s="49"/>
      <c r="C247" s="49"/>
      <c r="D247" s="49"/>
      <c r="E247" s="50"/>
      <c r="F247" s="50"/>
    </row>
    <row r="248">
      <c r="A248" s="48" t="s">
        <v>527</v>
      </c>
      <c r="B248" s="49"/>
      <c r="C248" s="50"/>
      <c r="D248" s="49"/>
      <c r="E248" s="49"/>
      <c r="F248" s="49"/>
    </row>
    <row r="249">
      <c r="A249" s="48" t="s">
        <v>528</v>
      </c>
      <c r="B249" s="50"/>
      <c r="C249" s="50"/>
      <c r="D249" s="50"/>
      <c r="E249" s="49"/>
      <c r="F249" s="49"/>
    </row>
    <row r="250">
      <c r="A250" s="48" t="s">
        <v>529</v>
      </c>
      <c r="B250" s="50"/>
      <c r="C250" s="50"/>
      <c r="D250" s="49"/>
      <c r="E250" s="49"/>
      <c r="F250" s="49"/>
    </row>
    <row r="251">
      <c r="A251" s="48" t="s">
        <v>530</v>
      </c>
      <c r="B251" s="49"/>
      <c r="C251" s="49"/>
      <c r="D251" s="49"/>
      <c r="E251" s="49"/>
      <c r="F251" s="49"/>
    </row>
    <row r="254">
      <c r="A254" s="45" t="s">
        <v>516</v>
      </c>
      <c r="B254" s="46" t="s">
        <v>553</v>
      </c>
    </row>
    <row r="255">
      <c r="A255" s="47" t="s">
        <v>518</v>
      </c>
      <c r="B255" s="47" t="s">
        <v>519</v>
      </c>
      <c r="C255" s="47" t="s">
        <v>520</v>
      </c>
      <c r="D255" s="47" t="s">
        <v>521</v>
      </c>
      <c r="E255" s="47" t="s">
        <v>522</v>
      </c>
      <c r="F255" s="47" t="s">
        <v>523</v>
      </c>
    </row>
    <row r="256">
      <c r="A256" s="48" t="s">
        <v>524</v>
      </c>
      <c r="B256" s="49"/>
      <c r="C256" s="49"/>
      <c r="D256" s="50"/>
      <c r="E256" s="49"/>
      <c r="F256" s="49"/>
    </row>
    <row r="257">
      <c r="A257" s="48" t="s">
        <v>525</v>
      </c>
      <c r="B257" s="49"/>
      <c r="C257" s="49"/>
      <c r="D257" s="49"/>
      <c r="E257" s="49"/>
      <c r="F257" s="50"/>
    </row>
    <row r="258">
      <c r="A258" s="48" t="s">
        <v>526</v>
      </c>
      <c r="B258" s="49"/>
      <c r="C258" s="50"/>
      <c r="D258" s="49"/>
      <c r="E258" s="49"/>
      <c r="F258" s="49"/>
    </row>
    <row r="259">
      <c r="A259" s="48" t="s">
        <v>527</v>
      </c>
      <c r="B259" s="50"/>
      <c r="C259" s="49"/>
      <c r="D259" s="49"/>
      <c r="E259" s="50"/>
      <c r="F259" s="49"/>
    </row>
    <row r="260">
      <c r="A260" s="48" t="s">
        <v>528</v>
      </c>
      <c r="B260" s="49"/>
      <c r="C260" s="49"/>
      <c r="D260" s="49"/>
      <c r="E260" s="50"/>
      <c r="F260" s="49"/>
    </row>
    <row r="261">
      <c r="A261" s="48" t="s">
        <v>529</v>
      </c>
      <c r="B261" s="49"/>
      <c r="C261" s="49"/>
      <c r="D261" s="49"/>
      <c r="E261" s="49"/>
      <c r="F261" s="49"/>
    </row>
    <row r="262">
      <c r="A262" s="48" t="s">
        <v>530</v>
      </c>
      <c r="B262" s="49"/>
      <c r="C262" s="49"/>
      <c r="D262" s="50"/>
      <c r="E262" s="50"/>
      <c r="F262" s="49"/>
    </row>
    <row r="265">
      <c r="A265" s="45" t="s">
        <v>516</v>
      </c>
      <c r="B265" s="46" t="s">
        <v>554</v>
      </c>
    </row>
    <row r="266">
      <c r="A266" s="47" t="s">
        <v>518</v>
      </c>
      <c r="B266" s="47" t="s">
        <v>519</v>
      </c>
      <c r="C266" s="47" t="s">
        <v>520</v>
      </c>
      <c r="D266" s="47" t="s">
        <v>521</v>
      </c>
      <c r="E266" s="47" t="s">
        <v>522</v>
      </c>
      <c r="F266" s="47" t="s">
        <v>523</v>
      </c>
    </row>
    <row r="267">
      <c r="A267" s="48" t="s">
        <v>524</v>
      </c>
      <c r="B267" s="49"/>
      <c r="C267" s="50"/>
      <c r="D267" s="49"/>
      <c r="E267" s="49"/>
      <c r="F267" s="50"/>
    </row>
    <row r="268">
      <c r="A268" s="48" t="s">
        <v>525</v>
      </c>
      <c r="B268" s="50"/>
      <c r="C268" s="50"/>
      <c r="D268" s="49"/>
      <c r="E268" s="50"/>
      <c r="F268" s="50"/>
    </row>
    <row r="269">
      <c r="A269" s="48" t="s">
        <v>526</v>
      </c>
      <c r="B269" s="49"/>
      <c r="C269" s="50"/>
      <c r="D269" s="50"/>
      <c r="E269" s="49"/>
      <c r="F269" s="49"/>
    </row>
    <row r="270">
      <c r="A270" s="48" t="s">
        <v>527</v>
      </c>
      <c r="B270" s="50"/>
      <c r="C270" s="49"/>
      <c r="D270" s="50"/>
      <c r="E270" s="50"/>
      <c r="F270" s="50"/>
    </row>
    <row r="271">
      <c r="A271" s="48" t="s">
        <v>528</v>
      </c>
      <c r="B271" s="49"/>
      <c r="C271" s="49"/>
      <c r="D271" s="49"/>
      <c r="E271" s="50"/>
      <c r="F271" s="49"/>
    </row>
    <row r="272">
      <c r="A272" s="48" t="s">
        <v>529</v>
      </c>
      <c r="B272" s="49"/>
      <c r="C272" s="49"/>
      <c r="D272" s="50"/>
      <c r="E272" s="49"/>
      <c r="F272" s="50"/>
    </row>
    <row r="273">
      <c r="A273" s="48" t="s">
        <v>530</v>
      </c>
      <c r="B273" s="49"/>
      <c r="C273" s="50"/>
      <c r="D273" s="49"/>
      <c r="E273" s="49"/>
      <c r="F273" s="49"/>
    </row>
    <row r="276">
      <c r="A276" s="45" t="s">
        <v>516</v>
      </c>
      <c r="B276" s="46" t="s">
        <v>555</v>
      </c>
    </row>
    <row r="277">
      <c r="A277" s="47" t="s">
        <v>518</v>
      </c>
      <c r="B277" s="47" t="s">
        <v>519</v>
      </c>
      <c r="C277" s="47" t="s">
        <v>520</v>
      </c>
      <c r="D277" s="47" t="s">
        <v>521</v>
      </c>
      <c r="E277" s="47" t="s">
        <v>522</v>
      </c>
      <c r="F277" s="47" t="s">
        <v>523</v>
      </c>
    </row>
    <row r="278">
      <c r="A278" s="48" t="s">
        <v>524</v>
      </c>
      <c r="B278" s="49"/>
      <c r="C278" s="49"/>
      <c r="D278" s="49"/>
      <c r="E278" s="50"/>
      <c r="F278" s="49"/>
    </row>
    <row r="279">
      <c r="A279" s="48" t="s">
        <v>525</v>
      </c>
      <c r="B279" s="50"/>
      <c r="C279" s="49"/>
      <c r="D279" s="50"/>
      <c r="E279" s="50"/>
      <c r="F279" s="49"/>
    </row>
    <row r="280">
      <c r="A280" s="48" t="s">
        <v>526</v>
      </c>
      <c r="B280" s="49"/>
      <c r="C280" s="49"/>
      <c r="D280" s="50"/>
      <c r="E280" s="49"/>
      <c r="F280" s="49"/>
    </row>
    <row r="281">
      <c r="A281" s="48" t="s">
        <v>527</v>
      </c>
      <c r="B281" s="49"/>
      <c r="C281" s="49"/>
      <c r="D281" s="49"/>
      <c r="E281" s="49"/>
      <c r="F281" s="49"/>
    </row>
    <row r="282">
      <c r="A282" s="48" t="s">
        <v>528</v>
      </c>
      <c r="B282" s="49"/>
      <c r="C282" s="49"/>
      <c r="D282" s="49"/>
      <c r="E282" s="50"/>
      <c r="F282" s="49"/>
    </row>
    <row r="283">
      <c r="A283" s="48" t="s">
        <v>529</v>
      </c>
      <c r="B283" s="49"/>
      <c r="C283" s="49"/>
      <c r="D283" s="49"/>
      <c r="E283" s="49"/>
      <c r="F283" s="50"/>
    </row>
    <row r="284">
      <c r="A284" s="48" t="s">
        <v>530</v>
      </c>
      <c r="B284" s="49"/>
      <c r="C284" s="49"/>
      <c r="D284" s="49"/>
      <c r="E284" s="50"/>
      <c r="F284" s="49"/>
    </row>
    <row r="287">
      <c r="A287" s="45" t="s">
        <v>516</v>
      </c>
      <c r="B287" s="46" t="s">
        <v>556</v>
      </c>
    </row>
    <row r="288">
      <c r="A288" s="47" t="s">
        <v>518</v>
      </c>
      <c r="B288" s="47" t="s">
        <v>519</v>
      </c>
      <c r="C288" s="47" t="s">
        <v>520</v>
      </c>
      <c r="D288" s="47" t="s">
        <v>521</v>
      </c>
      <c r="E288" s="47" t="s">
        <v>522</v>
      </c>
      <c r="F288" s="47" t="s">
        <v>523</v>
      </c>
    </row>
    <row r="289">
      <c r="A289" s="48" t="s">
        <v>524</v>
      </c>
      <c r="B289" s="49"/>
      <c r="C289" s="50"/>
      <c r="D289" s="49"/>
      <c r="E289" s="49"/>
      <c r="F289" s="49"/>
    </row>
    <row r="290">
      <c r="A290" s="48" t="s">
        <v>525</v>
      </c>
      <c r="B290" s="49"/>
      <c r="C290" s="49"/>
      <c r="D290" s="50"/>
      <c r="E290" s="49"/>
      <c r="F290" s="50"/>
    </row>
    <row r="291">
      <c r="A291" s="48" t="s">
        <v>526</v>
      </c>
      <c r="B291" s="49"/>
      <c r="C291" s="50"/>
      <c r="D291" s="49"/>
      <c r="E291" s="49"/>
      <c r="F291" s="49"/>
    </row>
    <row r="292">
      <c r="A292" s="48" t="s">
        <v>527</v>
      </c>
      <c r="B292" s="49"/>
      <c r="C292" s="49"/>
      <c r="D292" s="49"/>
      <c r="E292" s="49"/>
      <c r="F292" s="49"/>
    </row>
    <row r="293">
      <c r="A293" s="48" t="s">
        <v>528</v>
      </c>
      <c r="B293" s="50"/>
      <c r="C293" s="50"/>
      <c r="D293" s="49"/>
      <c r="E293" s="50"/>
      <c r="F293" s="49"/>
    </row>
    <row r="294">
      <c r="A294" s="48" t="s">
        <v>529</v>
      </c>
      <c r="B294" s="49"/>
      <c r="C294" s="49"/>
      <c r="D294" s="50"/>
      <c r="E294" s="49"/>
      <c r="F294" s="50"/>
    </row>
    <row r="295">
      <c r="A295" s="48" t="s">
        <v>530</v>
      </c>
      <c r="B295" s="49"/>
      <c r="C295" s="50"/>
      <c r="D295" s="49"/>
      <c r="E295" s="49"/>
      <c r="F295" s="50"/>
    </row>
    <row r="298">
      <c r="A298" s="45" t="s">
        <v>516</v>
      </c>
      <c r="B298" s="46" t="s">
        <v>557</v>
      </c>
    </row>
    <row r="299">
      <c r="A299" s="47" t="s">
        <v>518</v>
      </c>
      <c r="B299" s="47" t="s">
        <v>519</v>
      </c>
      <c r="C299" s="47" t="s">
        <v>520</v>
      </c>
      <c r="D299" s="47" t="s">
        <v>521</v>
      </c>
      <c r="E299" s="47" t="s">
        <v>522</v>
      </c>
      <c r="F299" s="47" t="s">
        <v>523</v>
      </c>
    </row>
    <row r="300">
      <c r="A300" s="48" t="s">
        <v>524</v>
      </c>
      <c r="B300" s="49"/>
      <c r="C300" s="49"/>
      <c r="D300" s="49"/>
      <c r="E300" s="49"/>
      <c r="F300" s="49"/>
    </row>
    <row r="301">
      <c r="A301" s="48" t="s">
        <v>525</v>
      </c>
      <c r="B301" s="50"/>
      <c r="C301" s="49"/>
      <c r="D301" s="49"/>
      <c r="E301" s="49"/>
      <c r="F301" s="49"/>
    </row>
    <row r="302">
      <c r="A302" s="48" t="s">
        <v>526</v>
      </c>
      <c r="B302" s="49"/>
      <c r="C302" s="50"/>
      <c r="D302" s="49"/>
      <c r="E302" s="49"/>
      <c r="F302" s="49"/>
    </row>
    <row r="303">
      <c r="A303" s="48" t="s">
        <v>527</v>
      </c>
      <c r="B303" s="49"/>
      <c r="C303" s="49"/>
      <c r="D303" s="50"/>
      <c r="E303" s="49"/>
      <c r="F303" s="49"/>
    </row>
    <row r="304">
      <c r="A304" s="48" t="s">
        <v>528</v>
      </c>
      <c r="B304" s="49"/>
      <c r="C304" s="49"/>
      <c r="D304" s="49"/>
      <c r="E304" s="49"/>
      <c r="F304" s="49"/>
    </row>
    <row r="305">
      <c r="A305" s="48" t="s">
        <v>529</v>
      </c>
      <c r="B305" s="49"/>
      <c r="C305" s="49"/>
      <c r="D305" s="49"/>
      <c r="E305" s="50"/>
      <c r="F305" s="50"/>
    </row>
    <row r="306">
      <c r="A306" s="48" t="s">
        <v>530</v>
      </c>
      <c r="B306" s="49"/>
      <c r="C306" s="49"/>
      <c r="D306" s="49"/>
      <c r="E306" s="50"/>
      <c r="F306" s="50"/>
    </row>
    <row r="309">
      <c r="A309" s="45" t="s">
        <v>516</v>
      </c>
      <c r="B309" s="46" t="s">
        <v>558</v>
      </c>
    </row>
    <row r="310">
      <c r="A310" s="47" t="s">
        <v>518</v>
      </c>
      <c r="B310" s="47" t="s">
        <v>519</v>
      </c>
      <c r="C310" s="47" t="s">
        <v>520</v>
      </c>
      <c r="D310" s="47" t="s">
        <v>521</v>
      </c>
      <c r="E310" s="47" t="s">
        <v>522</v>
      </c>
      <c r="F310" s="47" t="s">
        <v>523</v>
      </c>
    </row>
    <row r="311">
      <c r="A311" s="48" t="s">
        <v>524</v>
      </c>
      <c r="B311" s="49"/>
      <c r="C311" s="50"/>
      <c r="D311" s="49"/>
      <c r="E311" s="49"/>
      <c r="F311" s="49"/>
    </row>
    <row r="312">
      <c r="A312" s="48" t="s">
        <v>525</v>
      </c>
      <c r="B312" s="49"/>
      <c r="C312" s="49"/>
      <c r="D312" s="49"/>
      <c r="E312" s="49"/>
      <c r="F312" s="49"/>
    </row>
    <row r="313">
      <c r="A313" s="48" t="s">
        <v>526</v>
      </c>
      <c r="B313" s="49"/>
      <c r="C313" s="50"/>
      <c r="D313" s="49"/>
      <c r="E313" s="49"/>
      <c r="F313" s="50"/>
    </row>
    <row r="314">
      <c r="A314" s="48" t="s">
        <v>527</v>
      </c>
      <c r="B314" s="49"/>
      <c r="C314" s="49"/>
      <c r="D314" s="49"/>
      <c r="E314" s="49"/>
      <c r="F314" s="50"/>
    </row>
    <row r="315">
      <c r="A315" s="48" t="s">
        <v>528</v>
      </c>
      <c r="B315" s="49"/>
      <c r="C315" s="50"/>
      <c r="D315" s="49"/>
      <c r="E315" s="49"/>
      <c r="F315" s="50"/>
    </row>
    <row r="316">
      <c r="A316" s="48" t="s">
        <v>529</v>
      </c>
      <c r="B316" s="49"/>
      <c r="C316" s="49"/>
      <c r="D316" s="49"/>
      <c r="E316" s="49"/>
      <c r="F316" s="49"/>
    </row>
    <row r="317">
      <c r="A317" s="48" t="s">
        <v>530</v>
      </c>
      <c r="B317" s="49"/>
      <c r="C317" s="49"/>
      <c r="D317" s="49"/>
      <c r="E317" s="50"/>
      <c r="F317" s="49"/>
    </row>
    <row r="320">
      <c r="A320" s="45" t="s">
        <v>516</v>
      </c>
      <c r="B320" s="46" t="s">
        <v>559</v>
      </c>
    </row>
    <row r="321">
      <c r="A321" s="47" t="s">
        <v>518</v>
      </c>
      <c r="B321" s="47" t="s">
        <v>519</v>
      </c>
      <c r="C321" s="47" t="s">
        <v>520</v>
      </c>
      <c r="D321" s="47" t="s">
        <v>521</v>
      </c>
      <c r="E321" s="47" t="s">
        <v>522</v>
      </c>
      <c r="F321" s="47" t="s">
        <v>523</v>
      </c>
    </row>
    <row r="322">
      <c r="A322" s="48" t="s">
        <v>524</v>
      </c>
      <c r="B322" s="49"/>
      <c r="C322" s="49"/>
      <c r="D322" s="49"/>
      <c r="E322" s="50"/>
      <c r="F322" s="49"/>
    </row>
    <row r="323">
      <c r="A323" s="48" t="s">
        <v>525</v>
      </c>
      <c r="B323" s="49"/>
      <c r="C323" s="49"/>
      <c r="D323" s="49"/>
      <c r="E323" s="49"/>
      <c r="F323" s="49"/>
    </row>
    <row r="324">
      <c r="A324" s="48" t="s">
        <v>526</v>
      </c>
      <c r="B324" s="49"/>
      <c r="C324" s="50"/>
      <c r="D324" s="49"/>
      <c r="E324" s="49"/>
      <c r="F324" s="50"/>
    </row>
    <row r="325">
      <c r="A325" s="48" t="s">
        <v>527</v>
      </c>
      <c r="B325" s="49"/>
      <c r="C325" s="49"/>
      <c r="D325" s="49"/>
      <c r="E325" s="49"/>
      <c r="F325" s="50"/>
    </row>
    <row r="326">
      <c r="A326" s="48" t="s">
        <v>528</v>
      </c>
      <c r="B326" s="49"/>
      <c r="C326" s="49"/>
      <c r="D326" s="49"/>
      <c r="E326" s="49"/>
      <c r="F326" s="49"/>
    </row>
    <row r="327">
      <c r="A327" s="48" t="s">
        <v>529</v>
      </c>
      <c r="B327" s="49"/>
      <c r="C327" s="49"/>
      <c r="D327" s="50"/>
      <c r="E327" s="49"/>
      <c r="F327" s="50"/>
    </row>
    <row r="328">
      <c r="A328" s="48" t="s">
        <v>530</v>
      </c>
      <c r="B328" s="49"/>
      <c r="C328" s="49"/>
      <c r="D328" s="49"/>
      <c r="E328" s="49"/>
      <c r="F328" s="49"/>
    </row>
    <row r="331">
      <c r="A331" s="45" t="s">
        <v>516</v>
      </c>
      <c r="B331" s="46" t="s">
        <v>560</v>
      </c>
    </row>
    <row r="332">
      <c r="A332" s="47" t="s">
        <v>518</v>
      </c>
      <c r="B332" s="47" t="s">
        <v>519</v>
      </c>
      <c r="C332" s="47" t="s">
        <v>520</v>
      </c>
      <c r="D332" s="47" t="s">
        <v>521</v>
      </c>
      <c r="E332" s="47" t="s">
        <v>522</v>
      </c>
      <c r="F332" s="47" t="s">
        <v>523</v>
      </c>
    </row>
    <row r="333">
      <c r="A333" s="48" t="s">
        <v>524</v>
      </c>
      <c r="B333" s="49"/>
      <c r="C333" s="49"/>
      <c r="D333" s="50"/>
      <c r="E333" s="49"/>
      <c r="F333" s="49"/>
    </row>
    <row r="334">
      <c r="A334" s="48" t="s">
        <v>525</v>
      </c>
      <c r="B334" s="49"/>
      <c r="C334" s="49"/>
      <c r="D334" s="49"/>
      <c r="E334" s="50"/>
      <c r="F334" s="50"/>
    </row>
    <row r="335">
      <c r="A335" s="48" t="s">
        <v>526</v>
      </c>
      <c r="B335" s="49"/>
      <c r="C335" s="49"/>
      <c r="D335" s="49"/>
      <c r="E335" s="49"/>
      <c r="F335" s="49"/>
    </row>
    <row r="336">
      <c r="A336" s="48" t="s">
        <v>527</v>
      </c>
      <c r="B336" s="50"/>
      <c r="C336" s="49"/>
      <c r="D336" s="49"/>
      <c r="E336" s="50"/>
      <c r="F336" s="49"/>
    </row>
    <row r="337">
      <c r="A337" s="48" t="s">
        <v>528</v>
      </c>
      <c r="B337" s="49"/>
      <c r="C337" s="49"/>
      <c r="D337" s="49"/>
      <c r="E337" s="49"/>
      <c r="F337" s="49"/>
    </row>
    <row r="338">
      <c r="A338" s="48" t="s">
        <v>529</v>
      </c>
      <c r="B338" s="50"/>
      <c r="C338" s="50"/>
      <c r="D338" s="49"/>
      <c r="E338" s="49"/>
      <c r="F338" s="49"/>
    </row>
    <row r="339">
      <c r="A339" s="48" t="s">
        <v>530</v>
      </c>
      <c r="B339" s="49"/>
      <c r="C339" s="49"/>
      <c r="D339" s="50"/>
      <c r="E339" s="49"/>
      <c r="F339" s="49"/>
    </row>
    <row r="342">
      <c r="A342" s="45" t="s">
        <v>516</v>
      </c>
      <c r="B342" s="46" t="s">
        <v>561</v>
      </c>
    </row>
    <row r="343">
      <c r="A343" s="47" t="s">
        <v>518</v>
      </c>
      <c r="B343" s="47" t="s">
        <v>519</v>
      </c>
      <c r="C343" s="47" t="s">
        <v>520</v>
      </c>
      <c r="D343" s="47" t="s">
        <v>521</v>
      </c>
      <c r="E343" s="47" t="s">
        <v>522</v>
      </c>
      <c r="F343" s="47" t="s">
        <v>523</v>
      </c>
    </row>
    <row r="344">
      <c r="A344" s="48" t="s">
        <v>524</v>
      </c>
      <c r="B344" s="49"/>
      <c r="C344" s="49"/>
      <c r="D344" s="49"/>
      <c r="E344" s="49"/>
      <c r="F344" s="49"/>
    </row>
    <row r="345">
      <c r="A345" s="48" t="s">
        <v>525</v>
      </c>
      <c r="B345" s="49"/>
      <c r="C345" s="50"/>
      <c r="D345" s="49"/>
      <c r="E345" s="49"/>
      <c r="F345" s="50"/>
    </row>
    <row r="346">
      <c r="A346" s="48" t="s">
        <v>526</v>
      </c>
      <c r="B346" s="49"/>
      <c r="C346" s="50"/>
      <c r="D346" s="50"/>
      <c r="E346" s="49"/>
      <c r="F346" s="49"/>
    </row>
    <row r="347">
      <c r="A347" s="48" t="s">
        <v>527</v>
      </c>
      <c r="B347" s="50"/>
      <c r="C347" s="49"/>
      <c r="D347" s="49"/>
      <c r="E347" s="50"/>
      <c r="F347" s="50"/>
    </row>
    <row r="348">
      <c r="A348" s="48" t="s">
        <v>528</v>
      </c>
      <c r="B348" s="49"/>
      <c r="C348" s="50"/>
      <c r="D348" s="50"/>
      <c r="E348" s="50"/>
      <c r="F348" s="49"/>
    </row>
    <row r="349">
      <c r="A349" s="48" t="s">
        <v>529</v>
      </c>
      <c r="B349" s="49"/>
      <c r="C349" s="49"/>
      <c r="D349" s="50"/>
      <c r="E349" s="49"/>
      <c r="F349" s="49"/>
    </row>
    <row r="350">
      <c r="A350" s="48" t="s">
        <v>530</v>
      </c>
      <c r="B350" s="49"/>
      <c r="C350" s="49"/>
      <c r="D350" s="50"/>
      <c r="E350" s="49"/>
      <c r="F350" s="49"/>
    </row>
    <row r="353">
      <c r="A353" s="45" t="s">
        <v>516</v>
      </c>
      <c r="B353" s="46" t="s">
        <v>562</v>
      </c>
    </row>
    <row r="354">
      <c r="A354" s="47" t="s">
        <v>518</v>
      </c>
      <c r="B354" s="47" t="s">
        <v>519</v>
      </c>
      <c r="C354" s="47" t="s">
        <v>520</v>
      </c>
      <c r="D354" s="47" t="s">
        <v>521</v>
      </c>
      <c r="E354" s="47" t="s">
        <v>522</v>
      </c>
      <c r="F354" s="47" t="s">
        <v>523</v>
      </c>
    </row>
    <row r="355">
      <c r="A355" s="48" t="s">
        <v>524</v>
      </c>
      <c r="B355" s="49"/>
      <c r="C355" s="49"/>
      <c r="D355" s="49"/>
      <c r="E355" s="49"/>
      <c r="F355" s="49"/>
    </row>
    <row r="356">
      <c r="A356" s="48" t="s">
        <v>525</v>
      </c>
      <c r="B356" s="49"/>
      <c r="C356" s="49"/>
      <c r="D356" s="49"/>
      <c r="E356" s="50"/>
      <c r="F356" s="49"/>
    </row>
    <row r="357">
      <c r="A357" s="48" t="s">
        <v>526</v>
      </c>
      <c r="B357" s="49"/>
      <c r="C357" s="49"/>
      <c r="D357" s="50"/>
      <c r="E357" s="50"/>
      <c r="F357" s="49"/>
    </row>
    <row r="358">
      <c r="A358" s="48" t="s">
        <v>527</v>
      </c>
      <c r="B358" s="49"/>
      <c r="C358" s="49"/>
      <c r="D358" s="49"/>
      <c r="E358" s="50"/>
      <c r="F358" s="50"/>
    </row>
    <row r="359">
      <c r="A359" s="48" t="s">
        <v>528</v>
      </c>
      <c r="B359" s="49"/>
      <c r="C359" s="50"/>
      <c r="D359" s="49"/>
      <c r="E359" s="50"/>
      <c r="F359" s="49"/>
    </row>
    <row r="360">
      <c r="A360" s="48" t="s">
        <v>529</v>
      </c>
      <c r="B360" s="50"/>
      <c r="C360" s="49"/>
      <c r="D360" s="49"/>
      <c r="E360" s="49"/>
      <c r="F360" s="50"/>
    </row>
    <row r="361">
      <c r="A361" s="48" t="s">
        <v>530</v>
      </c>
      <c r="B361" s="50"/>
      <c r="C361" s="49"/>
      <c r="D361" s="49"/>
      <c r="E361" s="49"/>
      <c r="F361" s="49"/>
    </row>
    <row r="364">
      <c r="A364" s="45" t="s">
        <v>516</v>
      </c>
      <c r="B364" s="46" t="s">
        <v>563</v>
      </c>
    </row>
    <row r="365">
      <c r="A365" s="47" t="s">
        <v>518</v>
      </c>
      <c r="B365" s="47" t="s">
        <v>519</v>
      </c>
      <c r="C365" s="47" t="s">
        <v>520</v>
      </c>
      <c r="D365" s="47" t="s">
        <v>521</v>
      </c>
      <c r="E365" s="47" t="s">
        <v>522</v>
      </c>
      <c r="F365" s="47" t="s">
        <v>523</v>
      </c>
    </row>
    <row r="366">
      <c r="A366" s="48" t="s">
        <v>524</v>
      </c>
      <c r="B366" s="50"/>
      <c r="C366" s="49"/>
      <c r="D366" s="49"/>
      <c r="E366" s="50"/>
      <c r="F366" s="50"/>
    </row>
    <row r="367">
      <c r="A367" s="48" t="s">
        <v>525</v>
      </c>
      <c r="B367" s="49"/>
      <c r="C367" s="49"/>
      <c r="D367" s="49"/>
      <c r="E367" s="49"/>
      <c r="F367" s="50"/>
    </row>
    <row r="368">
      <c r="A368" s="48" t="s">
        <v>526</v>
      </c>
      <c r="B368" s="49"/>
      <c r="C368" s="50"/>
      <c r="D368" s="50"/>
      <c r="E368" s="50"/>
      <c r="F368" s="49"/>
    </row>
    <row r="369">
      <c r="A369" s="48" t="s">
        <v>527</v>
      </c>
      <c r="B369" s="50"/>
      <c r="C369" s="49"/>
      <c r="D369" s="50"/>
      <c r="E369" s="50"/>
      <c r="F369" s="49"/>
    </row>
    <row r="370">
      <c r="A370" s="48" t="s">
        <v>528</v>
      </c>
      <c r="B370" s="49"/>
      <c r="C370" s="49"/>
      <c r="D370" s="49"/>
      <c r="E370" s="49"/>
      <c r="F370" s="49"/>
    </row>
    <row r="371">
      <c r="A371" s="48" t="s">
        <v>529</v>
      </c>
      <c r="B371" s="49"/>
      <c r="C371" s="49"/>
      <c r="D371" s="49"/>
      <c r="E371" s="49"/>
      <c r="F371" s="49"/>
    </row>
    <row r="372">
      <c r="A372" s="48" t="s">
        <v>530</v>
      </c>
      <c r="B372" s="50"/>
      <c r="C372" s="49"/>
      <c r="D372" s="50"/>
      <c r="E372" s="50"/>
      <c r="F372" s="50"/>
    </row>
    <row r="375">
      <c r="A375" s="45" t="s">
        <v>516</v>
      </c>
      <c r="B375" s="46" t="s">
        <v>564</v>
      </c>
    </row>
    <row r="376">
      <c r="A376" s="47" t="s">
        <v>518</v>
      </c>
      <c r="B376" s="47" t="s">
        <v>519</v>
      </c>
      <c r="C376" s="47" t="s">
        <v>520</v>
      </c>
      <c r="D376" s="47" t="s">
        <v>521</v>
      </c>
      <c r="E376" s="47" t="s">
        <v>522</v>
      </c>
      <c r="F376" s="47" t="s">
        <v>523</v>
      </c>
    </row>
    <row r="377">
      <c r="A377" s="48" t="s">
        <v>524</v>
      </c>
      <c r="B377" s="50"/>
      <c r="C377" s="49"/>
      <c r="D377" s="49"/>
      <c r="E377" s="50"/>
      <c r="F377" s="49"/>
    </row>
    <row r="378">
      <c r="A378" s="48" t="s">
        <v>525</v>
      </c>
      <c r="B378" s="49"/>
      <c r="C378" s="49"/>
      <c r="D378" s="49"/>
      <c r="E378" s="50"/>
      <c r="F378" s="49"/>
    </row>
    <row r="379">
      <c r="A379" s="48" t="s">
        <v>526</v>
      </c>
      <c r="B379" s="49"/>
      <c r="C379" s="49"/>
      <c r="D379" s="49"/>
      <c r="E379" s="50"/>
      <c r="F379" s="49"/>
    </row>
    <row r="380">
      <c r="A380" s="48" t="s">
        <v>527</v>
      </c>
      <c r="B380" s="49"/>
      <c r="C380" s="50"/>
      <c r="D380" s="49"/>
      <c r="E380" s="49"/>
      <c r="F380" s="49"/>
    </row>
    <row r="381">
      <c r="A381" s="48" t="s">
        <v>528</v>
      </c>
      <c r="B381" s="49"/>
      <c r="C381" s="50"/>
      <c r="D381" s="50"/>
      <c r="E381" s="49"/>
      <c r="F381" s="50"/>
    </row>
    <row r="382">
      <c r="A382" s="48" t="s">
        <v>529</v>
      </c>
      <c r="B382" s="49"/>
      <c r="C382" s="49"/>
      <c r="D382" s="49"/>
      <c r="E382" s="49"/>
      <c r="F382" s="49"/>
    </row>
    <row r="383">
      <c r="A383" s="48" t="s">
        <v>530</v>
      </c>
      <c r="B383" s="50"/>
      <c r="C383" s="49"/>
      <c r="D383" s="50"/>
      <c r="E383" s="49"/>
      <c r="F383" s="49"/>
    </row>
    <row r="386">
      <c r="A386" s="45" t="s">
        <v>516</v>
      </c>
      <c r="B386" s="46" t="s">
        <v>565</v>
      </c>
    </row>
    <row r="387">
      <c r="A387" s="47" t="s">
        <v>518</v>
      </c>
      <c r="B387" s="47" t="s">
        <v>519</v>
      </c>
      <c r="C387" s="47" t="s">
        <v>520</v>
      </c>
      <c r="D387" s="47" t="s">
        <v>521</v>
      </c>
      <c r="E387" s="47" t="s">
        <v>522</v>
      </c>
      <c r="F387" s="47" t="s">
        <v>523</v>
      </c>
    </row>
    <row r="388">
      <c r="A388" s="48" t="s">
        <v>524</v>
      </c>
      <c r="B388" s="49"/>
      <c r="C388" s="50"/>
      <c r="D388" s="50"/>
      <c r="E388" s="50"/>
      <c r="F388" s="49"/>
    </row>
    <row r="389">
      <c r="A389" s="48" t="s">
        <v>525</v>
      </c>
      <c r="B389" s="50"/>
      <c r="C389" s="49"/>
      <c r="D389" s="49"/>
      <c r="E389" s="49"/>
      <c r="F389" s="49"/>
    </row>
    <row r="390">
      <c r="A390" s="48" t="s">
        <v>526</v>
      </c>
      <c r="B390" s="49"/>
      <c r="C390" s="49"/>
      <c r="D390" s="49"/>
      <c r="E390" s="49"/>
      <c r="F390" s="49"/>
    </row>
    <row r="391">
      <c r="A391" s="48" t="s">
        <v>527</v>
      </c>
      <c r="B391" s="50"/>
      <c r="C391" s="49"/>
      <c r="D391" s="49"/>
      <c r="E391" s="49"/>
      <c r="F391" s="49"/>
    </row>
    <row r="392">
      <c r="A392" s="48" t="s">
        <v>528</v>
      </c>
      <c r="B392" s="50"/>
      <c r="C392" s="50"/>
      <c r="D392" s="49"/>
      <c r="E392" s="49"/>
      <c r="F392" s="49"/>
    </row>
    <row r="393">
      <c r="A393" s="48" t="s">
        <v>529</v>
      </c>
      <c r="B393" s="49"/>
      <c r="C393" s="49"/>
      <c r="D393" s="49"/>
      <c r="E393" s="50"/>
      <c r="F393" s="49"/>
    </row>
    <row r="394">
      <c r="A394" s="48" t="s">
        <v>530</v>
      </c>
      <c r="B394" s="49"/>
      <c r="C394" s="49"/>
      <c r="D394" s="49"/>
      <c r="E394" s="49"/>
      <c r="F394" s="49"/>
    </row>
    <row r="397">
      <c r="A397" s="45" t="s">
        <v>516</v>
      </c>
      <c r="B397" s="46" t="s">
        <v>566</v>
      </c>
    </row>
    <row r="398">
      <c r="A398" s="47" t="s">
        <v>518</v>
      </c>
      <c r="B398" s="47" t="s">
        <v>519</v>
      </c>
      <c r="C398" s="47" t="s">
        <v>520</v>
      </c>
      <c r="D398" s="47" t="s">
        <v>521</v>
      </c>
      <c r="E398" s="47" t="s">
        <v>522</v>
      </c>
      <c r="F398" s="47" t="s">
        <v>523</v>
      </c>
    </row>
    <row r="399">
      <c r="A399" s="48" t="s">
        <v>524</v>
      </c>
      <c r="B399" s="50"/>
      <c r="C399" s="49"/>
      <c r="D399" s="49"/>
      <c r="E399" s="50"/>
      <c r="F399" s="50"/>
    </row>
    <row r="400">
      <c r="A400" s="48" t="s">
        <v>525</v>
      </c>
      <c r="B400" s="49"/>
      <c r="C400" s="49"/>
      <c r="D400" s="49"/>
      <c r="E400" s="49"/>
      <c r="F400" s="49"/>
    </row>
    <row r="401">
      <c r="A401" s="48" t="s">
        <v>526</v>
      </c>
      <c r="B401" s="50"/>
      <c r="C401" s="50"/>
      <c r="D401" s="50"/>
      <c r="E401" s="50"/>
      <c r="F401" s="49"/>
    </row>
    <row r="402">
      <c r="A402" s="48" t="s">
        <v>527</v>
      </c>
      <c r="B402" s="49"/>
      <c r="C402" s="49"/>
      <c r="D402" s="49"/>
      <c r="E402" s="49"/>
      <c r="F402" s="50"/>
    </row>
    <row r="403">
      <c r="A403" s="48" t="s">
        <v>528</v>
      </c>
      <c r="B403" s="49"/>
      <c r="C403" s="49"/>
      <c r="D403" s="49"/>
      <c r="E403" s="49"/>
      <c r="F403" s="50"/>
    </row>
    <row r="404">
      <c r="A404" s="48" t="s">
        <v>529</v>
      </c>
      <c r="B404" s="50"/>
      <c r="C404" s="49"/>
      <c r="D404" s="49"/>
      <c r="E404" s="49"/>
      <c r="F404" s="49"/>
    </row>
    <row r="405">
      <c r="A405" s="48" t="s">
        <v>530</v>
      </c>
      <c r="B405" s="49"/>
      <c r="C405" s="49"/>
      <c r="D405" s="49"/>
      <c r="E405" s="50"/>
      <c r="F405" s="49"/>
    </row>
    <row r="408">
      <c r="A408" s="45" t="s">
        <v>516</v>
      </c>
      <c r="B408" s="46" t="s">
        <v>567</v>
      </c>
    </row>
    <row r="409">
      <c r="A409" s="47" t="s">
        <v>518</v>
      </c>
      <c r="B409" s="47" t="s">
        <v>519</v>
      </c>
      <c r="C409" s="47" t="s">
        <v>520</v>
      </c>
      <c r="D409" s="47" t="s">
        <v>521</v>
      </c>
      <c r="E409" s="47" t="s">
        <v>522</v>
      </c>
      <c r="F409" s="47" t="s">
        <v>523</v>
      </c>
    </row>
    <row r="410">
      <c r="A410" s="48" t="s">
        <v>524</v>
      </c>
      <c r="B410" s="49"/>
      <c r="C410" s="49"/>
      <c r="D410" s="50"/>
      <c r="E410" s="49"/>
      <c r="F410" s="49"/>
    </row>
    <row r="411">
      <c r="A411" s="48" t="s">
        <v>525</v>
      </c>
      <c r="B411" s="50"/>
      <c r="C411" s="49"/>
      <c r="D411" s="49"/>
      <c r="E411" s="49"/>
      <c r="F411" s="49"/>
    </row>
    <row r="412">
      <c r="A412" s="48" t="s">
        <v>526</v>
      </c>
      <c r="B412" s="49"/>
      <c r="C412" s="49"/>
      <c r="D412" s="49"/>
      <c r="E412" s="49"/>
      <c r="F412" s="49"/>
    </row>
    <row r="413">
      <c r="A413" s="48" t="s">
        <v>527</v>
      </c>
      <c r="B413" s="49"/>
      <c r="C413" s="50"/>
      <c r="D413" s="49"/>
      <c r="E413" s="50"/>
      <c r="F413" s="50"/>
    </row>
    <row r="414">
      <c r="A414" s="48" t="s">
        <v>528</v>
      </c>
      <c r="B414" s="49"/>
      <c r="C414" s="49"/>
      <c r="D414" s="49"/>
      <c r="E414" s="49"/>
      <c r="F414" s="49"/>
    </row>
    <row r="415">
      <c r="A415" s="48" t="s">
        <v>529</v>
      </c>
      <c r="B415" s="49"/>
      <c r="C415" s="49"/>
      <c r="D415" s="50"/>
      <c r="E415" s="49"/>
      <c r="F415" s="49"/>
    </row>
    <row r="416">
      <c r="A416" s="48" t="s">
        <v>530</v>
      </c>
      <c r="B416" s="50"/>
      <c r="C416" s="49"/>
      <c r="D416" s="49"/>
      <c r="E416" s="49"/>
      <c r="F416" s="49"/>
    </row>
    <row r="419">
      <c r="A419" s="45" t="s">
        <v>516</v>
      </c>
      <c r="B419" s="46" t="s">
        <v>568</v>
      </c>
    </row>
    <row r="420">
      <c r="A420" s="47" t="s">
        <v>518</v>
      </c>
      <c r="B420" s="47" t="s">
        <v>519</v>
      </c>
      <c r="C420" s="47" t="s">
        <v>520</v>
      </c>
      <c r="D420" s="47" t="s">
        <v>521</v>
      </c>
      <c r="E420" s="47" t="s">
        <v>522</v>
      </c>
      <c r="F420" s="47" t="s">
        <v>523</v>
      </c>
    </row>
    <row r="421">
      <c r="A421" s="48" t="s">
        <v>524</v>
      </c>
      <c r="B421" s="50"/>
      <c r="C421" s="49"/>
      <c r="D421" s="49"/>
      <c r="E421" s="49"/>
      <c r="F421" s="49"/>
    </row>
    <row r="422">
      <c r="A422" s="48" t="s">
        <v>525</v>
      </c>
      <c r="B422" s="50"/>
      <c r="C422" s="49"/>
      <c r="D422" s="49"/>
      <c r="E422" s="49"/>
      <c r="F422" s="49"/>
    </row>
    <row r="423">
      <c r="A423" s="48" t="s">
        <v>526</v>
      </c>
      <c r="B423" s="49"/>
      <c r="C423" s="49"/>
      <c r="D423" s="49"/>
      <c r="E423" s="49"/>
      <c r="F423" s="49"/>
    </row>
    <row r="424">
      <c r="A424" s="48" t="s">
        <v>527</v>
      </c>
      <c r="B424" s="49"/>
      <c r="C424" s="50"/>
      <c r="D424" s="49"/>
      <c r="E424" s="49"/>
      <c r="F424" s="50"/>
    </row>
    <row r="425">
      <c r="A425" s="48" t="s">
        <v>528</v>
      </c>
      <c r="B425" s="49"/>
      <c r="C425" s="49"/>
      <c r="D425" s="49"/>
      <c r="E425" s="49"/>
      <c r="F425" s="49"/>
    </row>
    <row r="426">
      <c r="A426" s="48" t="s">
        <v>529</v>
      </c>
      <c r="B426" s="50"/>
      <c r="C426" s="49"/>
      <c r="D426" s="49"/>
      <c r="E426" s="49"/>
      <c r="F426" s="49"/>
    </row>
    <row r="427">
      <c r="A427" s="48" t="s">
        <v>530</v>
      </c>
      <c r="B427" s="49"/>
      <c r="C427" s="50"/>
      <c r="D427" s="50"/>
      <c r="E427" s="49"/>
      <c r="F427" s="49"/>
    </row>
    <row r="430">
      <c r="A430" s="45" t="s">
        <v>516</v>
      </c>
      <c r="B430" s="46" t="s">
        <v>569</v>
      </c>
    </row>
    <row r="431">
      <c r="A431" s="47" t="s">
        <v>518</v>
      </c>
      <c r="B431" s="47" t="s">
        <v>519</v>
      </c>
      <c r="C431" s="47" t="s">
        <v>520</v>
      </c>
      <c r="D431" s="47" t="s">
        <v>521</v>
      </c>
      <c r="E431" s="47" t="s">
        <v>522</v>
      </c>
      <c r="F431" s="47" t="s">
        <v>523</v>
      </c>
    </row>
    <row r="432">
      <c r="A432" s="48" t="s">
        <v>524</v>
      </c>
      <c r="B432" s="50"/>
      <c r="C432" s="50"/>
      <c r="D432" s="50"/>
      <c r="E432" s="49"/>
      <c r="F432" s="50"/>
    </row>
    <row r="433">
      <c r="A433" s="48" t="s">
        <v>525</v>
      </c>
      <c r="B433" s="49"/>
      <c r="C433" s="49"/>
      <c r="D433" s="50"/>
      <c r="E433" s="49"/>
      <c r="F433" s="50"/>
    </row>
    <row r="434">
      <c r="A434" s="48" t="s">
        <v>526</v>
      </c>
      <c r="B434" s="50"/>
      <c r="C434" s="49"/>
      <c r="D434" s="50"/>
      <c r="E434" s="50"/>
      <c r="F434" s="49"/>
    </row>
    <row r="435">
      <c r="A435" s="48" t="s">
        <v>527</v>
      </c>
      <c r="B435" s="50"/>
      <c r="C435" s="49"/>
      <c r="D435" s="49"/>
      <c r="E435" s="50"/>
      <c r="F435" s="49"/>
    </row>
    <row r="436">
      <c r="A436" s="48" t="s">
        <v>528</v>
      </c>
      <c r="B436" s="49"/>
      <c r="C436" s="49"/>
      <c r="D436" s="50"/>
      <c r="E436" s="49"/>
      <c r="F436" s="49"/>
    </row>
    <row r="437">
      <c r="A437" s="48" t="s">
        <v>529</v>
      </c>
      <c r="B437" s="49"/>
      <c r="C437" s="50"/>
      <c r="D437" s="49"/>
      <c r="E437" s="49"/>
      <c r="F437" s="49"/>
    </row>
    <row r="438">
      <c r="A438" s="48" t="s">
        <v>530</v>
      </c>
      <c r="B438" s="49"/>
      <c r="C438" s="50"/>
      <c r="D438" s="49"/>
      <c r="E438" s="49"/>
      <c r="F438" s="49"/>
    </row>
    <row r="441">
      <c r="A441" s="45" t="s">
        <v>516</v>
      </c>
      <c r="B441" s="46" t="s">
        <v>570</v>
      </c>
    </row>
    <row r="442">
      <c r="A442" s="47" t="s">
        <v>518</v>
      </c>
      <c r="B442" s="47" t="s">
        <v>519</v>
      </c>
      <c r="C442" s="47" t="s">
        <v>520</v>
      </c>
      <c r="D442" s="47" t="s">
        <v>521</v>
      </c>
      <c r="E442" s="47" t="s">
        <v>522</v>
      </c>
      <c r="F442" s="47" t="s">
        <v>523</v>
      </c>
    </row>
    <row r="443">
      <c r="A443" s="48" t="s">
        <v>524</v>
      </c>
      <c r="B443" s="50"/>
      <c r="C443" s="49"/>
      <c r="D443" s="49"/>
      <c r="E443" s="49"/>
      <c r="F443" s="49"/>
    </row>
    <row r="444">
      <c r="A444" s="48" t="s">
        <v>525</v>
      </c>
      <c r="B444" s="49"/>
      <c r="C444" s="49"/>
      <c r="D444" s="49"/>
      <c r="E444" s="50"/>
      <c r="F444" s="50"/>
    </row>
    <row r="445">
      <c r="A445" s="48" t="s">
        <v>526</v>
      </c>
      <c r="B445" s="50"/>
      <c r="C445" s="49"/>
      <c r="D445" s="50"/>
      <c r="E445" s="50"/>
      <c r="F445" s="49"/>
    </row>
    <row r="446">
      <c r="A446" s="48" t="s">
        <v>527</v>
      </c>
      <c r="B446" s="49"/>
      <c r="C446" s="49"/>
      <c r="D446" s="49"/>
      <c r="E446" s="49"/>
      <c r="F446" s="49"/>
    </row>
    <row r="447">
      <c r="A447" s="48" t="s">
        <v>528</v>
      </c>
      <c r="B447" s="49"/>
      <c r="C447" s="49"/>
      <c r="D447" s="49"/>
      <c r="E447" s="49"/>
      <c r="F447" s="49"/>
    </row>
    <row r="448">
      <c r="A448" s="48" t="s">
        <v>529</v>
      </c>
      <c r="B448" s="50"/>
      <c r="C448" s="49"/>
      <c r="D448" s="50"/>
      <c r="E448" s="49"/>
      <c r="F448" s="49"/>
    </row>
    <row r="449">
      <c r="A449" s="48" t="s">
        <v>530</v>
      </c>
      <c r="B449" s="49"/>
      <c r="C449" s="49"/>
      <c r="D449" s="49"/>
      <c r="E449" s="50"/>
      <c r="F449" s="50"/>
    </row>
    <row r="452">
      <c r="A452" s="45" t="s">
        <v>516</v>
      </c>
      <c r="B452" s="46" t="s">
        <v>571</v>
      </c>
    </row>
    <row r="453">
      <c r="A453" s="47" t="s">
        <v>518</v>
      </c>
      <c r="B453" s="47" t="s">
        <v>519</v>
      </c>
      <c r="C453" s="47" t="s">
        <v>520</v>
      </c>
      <c r="D453" s="47" t="s">
        <v>521</v>
      </c>
      <c r="E453" s="47" t="s">
        <v>522</v>
      </c>
      <c r="F453" s="47" t="s">
        <v>523</v>
      </c>
    </row>
    <row r="454">
      <c r="A454" s="48" t="s">
        <v>524</v>
      </c>
      <c r="B454" s="49"/>
      <c r="C454" s="49"/>
      <c r="D454" s="49"/>
      <c r="E454" s="49"/>
      <c r="F454" s="49"/>
    </row>
    <row r="455">
      <c r="A455" s="48" t="s">
        <v>525</v>
      </c>
      <c r="B455" s="49"/>
      <c r="C455" s="49"/>
      <c r="D455" s="50"/>
      <c r="E455" s="50"/>
      <c r="F455" s="49"/>
    </row>
    <row r="456">
      <c r="A456" s="48" t="s">
        <v>526</v>
      </c>
      <c r="B456" s="49"/>
      <c r="C456" s="50"/>
      <c r="D456" s="50"/>
      <c r="E456" s="49"/>
      <c r="F456" s="49"/>
    </row>
    <row r="457">
      <c r="A457" s="48" t="s">
        <v>527</v>
      </c>
      <c r="B457" s="49"/>
      <c r="C457" s="49"/>
      <c r="D457" s="49"/>
      <c r="E457" s="49"/>
      <c r="F457" s="49"/>
    </row>
    <row r="458">
      <c r="A458" s="48" t="s">
        <v>528</v>
      </c>
      <c r="B458" s="49"/>
      <c r="C458" s="50"/>
      <c r="D458" s="49"/>
      <c r="E458" s="49"/>
      <c r="F458" s="49"/>
    </row>
    <row r="459">
      <c r="A459" s="48" t="s">
        <v>529</v>
      </c>
      <c r="B459" s="49"/>
      <c r="C459" s="49"/>
      <c r="D459" s="49"/>
      <c r="E459" s="49"/>
      <c r="F459" s="49"/>
    </row>
    <row r="460">
      <c r="A460" s="48" t="s">
        <v>530</v>
      </c>
      <c r="B460" s="49"/>
      <c r="C460" s="50"/>
      <c r="D460" s="49"/>
      <c r="E460" s="50"/>
      <c r="F460" s="49"/>
    </row>
    <row r="463">
      <c r="A463" s="45" t="s">
        <v>516</v>
      </c>
      <c r="B463" s="46" t="s">
        <v>572</v>
      </c>
    </row>
    <row r="464">
      <c r="A464" s="47" t="s">
        <v>518</v>
      </c>
      <c r="B464" s="47" t="s">
        <v>519</v>
      </c>
      <c r="C464" s="47" t="s">
        <v>520</v>
      </c>
      <c r="D464" s="47" t="s">
        <v>521</v>
      </c>
      <c r="E464" s="47" t="s">
        <v>522</v>
      </c>
      <c r="F464" s="47" t="s">
        <v>523</v>
      </c>
    </row>
    <row r="465">
      <c r="A465" s="48" t="s">
        <v>524</v>
      </c>
      <c r="B465" s="49"/>
      <c r="C465" s="49"/>
      <c r="D465" s="50"/>
      <c r="E465" s="50"/>
      <c r="F465" s="49"/>
    </row>
    <row r="466">
      <c r="A466" s="48" t="s">
        <v>525</v>
      </c>
      <c r="B466" s="50"/>
      <c r="C466" s="49"/>
      <c r="D466" s="50"/>
      <c r="E466" s="49"/>
      <c r="F466" s="49"/>
    </row>
    <row r="467">
      <c r="A467" s="48" t="s">
        <v>526</v>
      </c>
      <c r="B467" s="49"/>
      <c r="C467" s="49"/>
      <c r="D467" s="49"/>
      <c r="E467" s="49"/>
      <c r="F467" s="49"/>
    </row>
    <row r="468">
      <c r="A468" s="48" t="s">
        <v>527</v>
      </c>
      <c r="B468" s="50"/>
      <c r="C468" s="49"/>
      <c r="D468" s="50"/>
      <c r="E468" s="50"/>
      <c r="F468" s="49"/>
    </row>
    <row r="469">
      <c r="A469" s="48" t="s">
        <v>528</v>
      </c>
      <c r="B469" s="49"/>
      <c r="C469" s="49"/>
      <c r="D469" s="50"/>
      <c r="E469" s="49"/>
      <c r="F469" s="49"/>
    </row>
    <row r="470">
      <c r="A470" s="48" t="s">
        <v>529</v>
      </c>
      <c r="B470" s="49"/>
      <c r="C470" s="49"/>
      <c r="D470" s="50"/>
      <c r="E470" s="50"/>
      <c r="F470" s="49"/>
    </row>
    <row r="471">
      <c r="A471" s="48" t="s">
        <v>530</v>
      </c>
      <c r="B471" s="50"/>
      <c r="C471" s="49"/>
      <c r="D471" s="50"/>
      <c r="E471" s="49"/>
      <c r="F471" s="49"/>
    </row>
    <row r="474">
      <c r="A474" s="45" t="s">
        <v>516</v>
      </c>
      <c r="B474" s="46" t="s">
        <v>573</v>
      </c>
    </row>
    <row r="475">
      <c r="A475" s="47" t="s">
        <v>518</v>
      </c>
      <c r="B475" s="47" t="s">
        <v>519</v>
      </c>
      <c r="C475" s="47" t="s">
        <v>520</v>
      </c>
      <c r="D475" s="47" t="s">
        <v>521</v>
      </c>
      <c r="E475" s="47" t="s">
        <v>522</v>
      </c>
      <c r="F475" s="47" t="s">
        <v>523</v>
      </c>
    </row>
    <row r="476">
      <c r="A476" s="48" t="s">
        <v>524</v>
      </c>
      <c r="B476" s="49"/>
      <c r="C476" s="49"/>
      <c r="D476" s="49"/>
      <c r="E476" s="49"/>
      <c r="F476" s="49"/>
    </row>
    <row r="477">
      <c r="A477" s="48" t="s">
        <v>525</v>
      </c>
      <c r="B477" s="50"/>
      <c r="C477" s="49"/>
      <c r="D477" s="49"/>
      <c r="E477" s="49"/>
      <c r="F477" s="49"/>
    </row>
    <row r="478">
      <c r="A478" s="48" t="s">
        <v>526</v>
      </c>
      <c r="B478" s="49"/>
      <c r="C478" s="49"/>
      <c r="D478" s="49"/>
      <c r="E478" s="49"/>
      <c r="F478" s="49"/>
    </row>
    <row r="479">
      <c r="A479" s="48" t="s">
        <v>527</v>
      </c>
      <c r="B479" s="49"/>
      <c r="C479" s="49"/>
      <c r="D479" s="49"/>
      <c r="E479" s="50"/>
      <c r="F479" s="49"/>
    </row>
    <row r="480">
      <c r="A480" s="48" t="s">
        <v>528</v>
      </c>
      <c r="B480" s="49"/>
      <c r="C480" s="49"/>
      <c r="D480" s="50"/>
      <c r="E480" s="49"/>
      <c r="F480" s="50"/>
    </row>
    <row r="481">
      <c r="A481" s="48" t="s">
        <v>529</v>
      </c>
      <c r="B481" s="49"/>
      <c r="C481" s="49"/>
      <c r="D481" s="49"/>
      <c r="E481" s="49"/>
      <c r="F481" s="50"/>
    </row>
    <row r="482">
      <c r="A482" s="48" t="s">
        <v>530</v>
      </c>
      <c r="B482" s="49"/>
      <c r="C482" s="49"/>
      <c r="D482" s="49"/>
      <c r="E482" s="49"/>
      <c r="F482" s="49"/>
    </row>
    <row r="485">
      <c r="A485" s="45" t="s">
        <v>516</v>
      </c>
      <c r="B485" s="46" t="s">
        <v>574</v>
      </c>
    </row>
    <row r="486">
      <c r="A486" s="47" t="s">
        <v>518</v>
      </c>
      <c r="B486" s="47" t="s">
        <v>519</v>
      </c>
      <c r="C486" s="47" t="s">
        <v>520</v>
      </c>
      <c r="D486" s="47" t="s">
        <v>521</v>
      </c>
      <c r="E486" s="47" t="s">
        <v>522</v>
      </c>
      <c r="F486" s="47" t="s">
        <v>523</v>
      </c>
    </row>
    <row r="487">
      <c r="A487" s="48" t="s">
        <v>524</v>
      </c>
      <c r="B487" s="49"/>
      <c r="C487" s="50"/>
      <c r="D487" s="49"/>
      <c r="E487" s="49"/>
      <c r="F487" s="49"/>
    </row>
    <row r="488">
      <c r="A488" s="48" t="s">
        <v>525</v>
      </c>
      <c r="B488" s="50"/>
      <c r="C488" s="49"/>
      <c r="D488" s="49"/>
      <c r="E488" s="49"/>
      <c r="F488" s="49"/>
    </row>
    <row r="489">
      <c r="A489" s="48" t="s">
        <v>526</v>
      </c>
      <c r="B489" s="49"/>
      <c r="C489" s="49"/>
      <c r="D489" s="49"/>
      <c r="E489" s="49"/>
      <c r="F489" s="49"/>
    </row>
    <row r="490">
      <c r="A490" s="48" t="s">
        <v>527</v>
      </c>
      <c r="B490" s="50"/>
      <c r="C490" s="49"/>
      <c r="D490" s="49"/>
      <c r="E490" s="49"/>
      <c r="F490" s="50"/>
    </row>
    <row r="491">
      <c r="A491" s="48" t="s">
        <v>528</v>
      </c>
      <c r="B491" s="49"/>
      <c r="C491" s="49"/>
      <c r="D491" s="49"/>
      <c r="E491" s="50"/>
      <c r="F491" s="50"/>
    </row>
    <row r="492">
      <c r="A492" s="48" t="s">
        <v>529</v>
      </c>
      <c r="B492" s="49"/>
      <c r="C492" s="49"/>
      <c r="D492" s="50"/>
      <c r="E492" s="49"/>
      <c r="F492" s="49"/>
    </row>
    <row r="493">
      <c r="A493" s="48" t="s">
        <v>530</v>
      </c>
      <c r="B493" s="49"/>
      <c r="C493" s="49"/>
      <c r="D493" s="50"/>
      <c r="E493" s="49"/>
      <c r="F493" s="50"/>
    </row>
    <row r="496">
      <c r="A496" s="45" t="s">
        <v>516</v>
      </c>
      <c r="B496" s="46" t="s">
        <v>575</v>
      </c>
    </row>
    <row r="497">
      <c r="A497" s="47" t="s">
        <v>518</v>
      </c>
      <c r="B497" s="47" t="s">
        <v>519</v>
      </c>
      <c r="C497" s="47" t="s">
        <v>520</v>
      </c>
      <c r="D497" s="47" t="s">
        <v>521</v>
      </c>
      <c r="E497" s="47" t="s">
        <v>522</v>
      </c>
      <c r="F497" s="47" t="s">
        <v>523</v>
      </c>
    </row>
    <row r="498">
      <c r="A498" s="48" t="s">
        <v>524</v>
      </c>
      <c r="B498" s="49"/>
      <c r="C498" s="49"/>
      <c r="D498" s="49"/>
      <c r="E498" s="49"/>
      <c r="F498" s="49"/>
    </row>
    <row r="499">
      <c r="A499" s="48" t="s">
        <v>525</v>
      </c>
      <c r="B499" s="49"/>
      <c r="C499" s="49"/>
      <c r="D499" s="49"/>
      <c r="E499" s="49"/>
      <c r="F499" s="50"/>
    </row>
    <row r="500">
      <c r="A500" s="48" t="s">
        <v>526</v>
      </c>
      <c r="B500" s="50"/>
      <c r="C500" s="49"/>
      <c r="D500" s="50"/>
      <c r="E500" s="49"/>
      <c r="F500" s="49"/>
    </row>
    <row r="501">
      <c r="A501" s="48" t="s">
        <v>527</v>
      </c>
      <c r="B501" s="49"/>
      <c r="C501" s="49"/>
      <c r="D501" s="49"/>
      <c r="E501" s="50"/>
      <c r="F501" s="49"/>
    </row>
    <row r="502">
      <c r="A502" s="48" t="s">
        <v>528</v>
      </c>
      <c r="B502" s="49"/>
      <c r="C502" s="50"/>
      <c r="D502" s="49"/>
      <c r="E502" s="49"/>
      <c r="F502" s="50"/>
    </row>
    <row r="503">
      <c r="A503" s="48" t="s">
        <v>529</v>
      </c>
      <c r="B503" s="49"/>
      <c r="C503" s="50"/>
      <c r="D503" s="50"/>
      <c r="E503" s="50"/>
      <c r="F503" s="50"/>
    </row>
    <row r="504">
      <c r="A504" s="48" t="s">
        <v>530</v>
      </c>
      <c r="B504" s="49"/>
      <c r="C504" s="50"/>
      <c r="D504" s="49"/>
      <c r="E504" s="49"/>
      <c r="F504" s="50"/>
    </row>
    <row r="507">
      <c r="A507" s="45" t="s">
        <v>516</v>
      </c>
      <c r="B507" s="46" t="s">
        <v>576</v>
      </c>
    </row>
    <row r="508">
      <c r="A508" s="47" t="s">
        <v>518</v>
      </c>
      <c r="B508" s="47" t="s">
        <v>519</v>
      </c>
      <c r="C508" s="47" t="s">
        <v>520</v>
      </c>
      <c r="D508" s="47" t="s">
        <v>521</v>
      </c>
      <c r="E508" s="47" t="s">
        <v>522</v>
      </c>
      <c r="F508" s="47" t="s">
        <v>523</v>
      </c>
    </row>
    <row r="509">
      <c r="A509" s="48" t="s">
        <v>524</v>
      </c>
      <c r="B509" s="50"/>
      <c r="C509" s="49"/>
      <c r="D509" s="49"/>
      <c r="E509" s="49"/>
      <c r="F509" s="49"/>
    </row>
    <row r="510">
      <c r="A510" s="48" t="s">
        <v>525</v>
      </c>
      <c r="B510" s="49"/>
      <c r="C510" s="49"/>
      <c r="D510" s="49"/>
      <c r="E510" s="50"/>
      <c r="F510" s="49"/>
    </row>
    <row r="511">
      <c r="A511" s="48" t="s">
        <v>526</v>
      </c>
      <c r="B511" s="49"/>
      <c r="C511" s="49"/>
      <c r="D511" s="50"/>
      <c r="E511" s="49"/>
      <c r="F511" s="50"/>
    </row>
    <row r="512">
      <c r="A512" s="48" t="s">
        <v>527</v>
      </c>
      <c r="B512" s="49"/>
      <c r="C512" s="50"/>
      <c r="D512" s="49"/>
      <c r="E512" s="49"/>
      <c r="F512" s="49"/>
    </row>
    <row r="513">
      <c r="A513" s="48" t="s">
        <v>528</v>
      </c>
      <c r="B513" s="49"/>
      <c r="C513" s="49"/>
      <c r="D513" s="50"/>
      <c r="E513" s="49"/>
      <c r="F513" s="49"/>
    </row>
    <row r="514">
      <c r="A514" s="48" t="s">
        <v>529</v>
      </c>
      <c r="B514" s="50"/>
      <c r="C514" s="49"/>
      <c r="D514" s="49"/>
      <c r="E514" s="49"/>
      <c r="F514" s="49"/>
    </row>
    <row r="515">
      <c r="A515" s="48" t="s">
        <v>530</v>
      </c>
      <c r="B515" s="50"/>
      <c r="C515" s="50"/>
      <c r="D515" s="50"/>
      <c r="E515" s="50"/>
      <c r="F515" s="49"/>
    </row>
    <row r="518">
      <c r="A518" s="45" t="s">
        <v>516</v>
      </c>
      <c r="B518" s="46" t="s">
        <v>577</v>
      </c>
    </row>
    <row r="519">
      <c r="A519" s="47" t="s">
        <v>518</v>
      </c>
      <c r="B519" s="47" t="s">
        <v>519</v>
      </c>
      <c r="C519" s="47" t="s">
        <v>520</v>
      </c>
      <c r="D519" s="47" t="s">
        <v>521</v>
      </c>
      <c r="E519" s="47" t="s">
        <v>522</v>
      </c>
      <c r="F519" s="47" t="s">
        <v>523</v>
      </c>
    </row>
    <row r="520">
      <c r="A520" s="48" t="s">
        <v>524</v>
      </c>
      <c r="B520" s="49"/>
      <c r="C520" s="50"/>
      <c r="D520" s="50"/>
      <c r="E520" s="49"/>
      <c r="F520" s="50"/>
    </row>
    <row r="521">
      <c r="A521" s="48" t="s">
        <v>525</v>
      </c>
      <c r="B521" s="49"/>
      <c r="C521" s="49"/>
      <c r="D521" s="49"/>
      <c r="E521" s="50"/>
      <c r="F521" s="50"/>
    </row>
    <row r="522">
      <c r="A522" s="48" t="s">
        <v>526</v>
      </c>
      <c r="B522" s="49"/>
      <c r="C522" s="49"/>
      <c r="D522" s="49"/>
      <c r="E522" s="50"/>
      <c r="F522" s="49"/>
    </row>
    <row r="523">
      <c r="A523" s="48" t="s">
        <v>527</v>
      </c>
      <c r="B523" s="50"/>
      <c r="C523" s="50"/>
      <c r="D523" s="50"/>
      <c r="E523" s="49"/>
      <c r="F523" s="49"/>
    </row>
    <row r="524">
      <c r="A524" s="48" t="s">
        <v>528</v>
      </c>
      <c r="B524" s="50"/>
      <c r="C524" s="49"/>
      <c r="D524" s="50"/>
      <c r="E524" s="50"/>
      <c r="F524" s="49"/>
    </row>
    <row r="525">
      <c r="A525" s="48" t="s">
        <v>529</v>
      </c>
      <c r="B525" s="49"/>
      <c r="C525" s="49"/>
      <c r="D525" s="49"/>
      <c r="E525" s="50"/>
      <c r="F525" s="49"/>
    </row>
    <row r="526">
      <c r="A526" s="48" t="s">
        <v>530</v>
      </c>
      <c r="B526" s="49"/>
      <c r="C526" s="49"/>
      <c r="D526" s="50"/>
      <c r="E526" s="49"/>
      <c r="F526" s="50"/>
    </row>
    <row r="529">
      <c r="A529" s="45" t="s">
        <v>516</v>
      </c>
      <c r="B529" s="46" t="s">
        <v>578</v>
      </c>
    </row>
    <row r="530">
      <c r="A530" s="47" t="s">
        <v>518</v>
      </c>
      <c r="B530" s="47" t="s">
        <v>519</v>
      </c>
      <c r="C530" s="47" t="s">
        <v>520</v>
      </c>
      <c r="D530" s="47" t="s">
        <v>521</v>
      </c>
      <c r="E530" s="47" t="s">
        <v>522</v>
      </c>
      <c r="F530" s="47" t="s">
        <v>523</v>
      </c>
    </row>
    <row r="531">
      <c r="A531" s="48" t="s">
        <v>524</v>
      </c>
      <c r="B531" s="49"/>
      <c r="C531" s="49"/>
      <c r="D531" s="49"/>
      <c r="E531" s="49"/>
      <c r="F531" s="49"/>
    </row>
    <row r="532">
      <c r="A532" s="48" t="s">
        <v>525</v>
      </c>
      <c r="B532" s="49"/>
      <c r="C532" s="50"/>
      <c r="D532" s="49"/>
      <c r="E532" s="49"/>
      <c r="F532" s="49"/>
    </row>
    <row r="533">
      <c r="A533" s="48" t="s">
        <v>526</v>
      </c>
      <c r="B533" s="49"/>
      <c r="C533" s="49"/>
      <c r="D533" s="49"/>
      <c r="E533" s="49"/>
      <c r="F533" s="49"/>
    </row>
    <row r="534">
      <c r="A534" s="48" t="s">
        <v>527</v>
      </c>
      <c r="B534" s="49"/>
      <c r="C534" s="50"/>
      <c r="D534" s="49"/>
      <c r="E534" s="49"/>
      <c r="F534" s="49"/>
    </row>
    <row r="535">
      <c r="A535" s="48" t="s">
        <v>528</v>
      </c>
      <c r="B535" s="50"/>
      <c r="C535" s="49"/>
      <c r="D535" s="49"/>
      <c r="E535" s="50"/>
      <c r="F535" s="49"/>
    </row>
    <row r="536">
      <c r="A536" s="48" t="s">
        <v>529</v>
      </c>
      <c r="B536" s="49"/>
      <c r="C536" s="50"/>
      <c r="D536" s="49"/>
      <c r="E536" s="49"/>
      <c r="F536" s="49"/>
    </row>
    <row r="537">
      <c r="A537" s="48" t="s">
        <v>530</v>
      </c>
      <c r="B537" s="49"/>
      <c r="C537" s="49"/>
      <c r="D537" s="49"/>
      <c r="E537" s="50"/>
      <c r="F537" s="49"/>
    </row>
    <row r="540">
      <c r="A540" s="45" t="s">
        <v>516</v>
      </c>
      <c r="B540" s="46" t="s">
        <v>579</v>
      </c>
    </row>
    <row r="541">
      <c r="A541" s="47" t="s">
        <v>518</v>
      </c>
      <c r="B541" s="47" t="s">
        <v>519</v>
      </c>
      <c r="C541" s="47" t="s">
        <v>520</v>
      </c>
      <c r="D541" s="47" t="s">
        <v>521</v>
      </c>
      <c r="E541" s="47" t="s">
        <v>522</v>
      </c>
      <c r="F541" s="47" t="s">
        <v>523</v>
      </c>
    </row>
    <row r="542">
      <c r="A542" s="48" t="s">
        <v>524</v>
      </c>
      <c r="B542" s="49"/>
      <c r="C542" s="50"/>
      <c r="D542" s="49"/>
      <c r="E542" s="50"/>
      <c r="F542" s="50"/>
    </row>
    <row r="543">
      <c r="A543" s="48" t="s">
        <v>525</v>
      </c>
      <c r="B543" s="49"/>
      <c r="C543" s="50"/>
      <c r="D543" s="50"/>
      <c r="E543" s="50"/>
      <c r="F543" s="49"/>
    </row>
    <row r="544">
      <c r="A544" s="48" t="s">
        <v>526</v>
      </c>
      <c r="B544" s="49"/>
      <c r="C544" s="50"/>
      <c r="D544" s="49"/>
      <c r="E544" s="50"/>
      <c r="F544" s="49"/>
    </row>
    <row r="545">
      <c r="A545" s="48" t="s">
        <v>527</v>
      </c>
      <c r="B545" s="49"/>
      <c r="C545" s="49"/>
      <c r="D545" s="49"/>
      <c r="E545" s="50"/>
      <c r="F545" s="49"/>
    </row>
    <row r="546">
      <c r="A546" s="48" t="s">
        <v>528</v>
      </c>
      <c r="B546" s="49"/>
      <c r="C546" s="49"/>
      <c r="D546" s="50"/>
      <c r="E546" s="50"/>
      <c r="F546" s="50"/>
    </row>
    <row r="547">
      <c r="A547" s="48" t="s">
        <v>529</v>
      </c>
      <c r="B547" s="49"/>
      <c r="C547" s="50"/>
      <c r="D547" s="49"/>
      <c r="E547" s="49"/>
      <c r="F547" s="49"/>
    </row>
    <row r="548">
      <c r="A548" s="48" t="s">
        <v>530</v>
      </c>
      <c r="B548" s="49"/>
      <c r="C548" s="49"/>
      <c r="D548" s="50"/>
      <c r="E548" s="49"/>
      <c r="F548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6" width="30.13"/>
  </cols>
  <sheetData>
    <row r="1">
      <c r="A1" s="45" t="s">
        <v>516</v>
      </c>
      <c r="B1" s="46" t="s">
        <v>517</v>
      </c>
    </row>
    <row r="2">
      <c r="A2" s="51" t="s">
        <v>518</v>
      </c>
      <c r="B2" s="51" t="s">
        <v>519</v>
      </c>
      <c r="C2" s="51" t="s">
        <v>520</v>
      </c>
      <c r="D2" s="51" t="s">
        <v>521</v>
      </c>
      <c r="E2" s="51" t="s">
        <v>522</v>
      </c>
      <c r="F2" s="51" t="s">
        <v>523</v>
      </c>
    </row>
    <row r="3">
      <c r="A3" s="48" t="s">
        <v>524</v>
      </c>
      <c r="B3" s="52"/>
      <c r="C3" s="52"/>
      <c r="D3" s="52"/>
      <c r="E3" s="52"/>
      <c r="F3" s="52"/>
    </row>
    <row r="4">
      <c r="A4" s="48" t="s">
        <v>525</v>
      </c>
      <c r="B4" s="53"/>
      <c r="C4" s="53"/>
      <c r="D4" s="53"/>
      <c r="E4" s="53"/>
      <c r="F4" s="53"/>
    </row>
    <row r="5">
      <c r="A5" s="48" t="s">
        <v>526</v>
      </c>
      <c r="B5" s="52"/>
      <c r="C5" s="54" t="s">
        <v>580</v>
      </c>
      <c r="D5" s="52"/>
      <c r="E5" s="52"/>
      <c r="F5" s="52"/>
    </row>
    <row r="6">
      <c r="A6" s="48" t="s">
        <v>527</v>
      </c>
      <c r="B6" s="53"/>
      <c r="C6" s="53"/>
      <c r="D6" s="55" t="s">
        <v>581</v>
      </c>
      <c r="E6" s="53"/>
      <c r="F6" s="53"/>
    </row>
    <row r="7">
      <c r="A7" s="48" t="s">
        <v>528</v>
      </c>
      <c r="B7" s="52"/>
      <c r="C7" s="52"/>
      <c r="D7" s="52"/>
      <c r="E7" s="52"/>
      <c r="F7" s="54" t="s">
        <v>582</v>
      </c>
    </row>
    <row r="8">
      <c r="A8" s="48" t="s">
        <v>529</v>
      </c>
      <c r="B8" s="53"/>
      <c r="C8" s="53"/>
      <c r="D8" s="55" t="s">
        <v>583</v>
      </c>
      <c r="E8" s="53"/>
      <c r="F8" s="53"/>
    </row>
    <row r="9">
      <c r="A9" s="48" t="s">
        <v>530</v>
      </c>
      <c r="B9" s="52"/>
      <c r="C9" s="54" t="s">
        <v>584</v>
      </c>
      <c r="D9" s="52"/>
      <c r="E9" s="52"/>
      <c r="F9" s="52"/>
    </row>
    <row r="12">
      <c r="A12" s="45" t="s">
        <v>516</v>
      </c>
      <c r="B12" s="46" t="s">
        <v>531</v>
      </c>
    </row>
    <row r="13">
      <c r="A13" s="51" t="s">
        <v>518</v>
      </c>
      <c r="B13" s="51" t="s">
        <v>519</v>
      </c>
      <c r="C13" s="51" t="s">
        <v>520</v>
      </c>
      <c r="D13" s="51" t="s">
        <v>521</v>
      </c>
      <c r="E13" s="51" t="s">
        <v>522</v>
      </c>
      <c r="F13" s="51" t="s">
        <v>523</v>
      </c>
    </row>
    <row r="14">
      <c r="A14" s="48" t="s">
        <v>524</v>
      </c>
      <c r="B14" s="52"/>
      <c r="C14" s="52"/>
      <c r="D14" s="54" t="s">
        <v>585</v>
      </c>
      <c r="E14" s="52"/>
      <c r="F14" s="52"/>
    </row>
    <row r="15">
      <c r="A15" s="48" t="s">
        <v>525</v>
      </c>
      <c r="B15" s="53"/>
      <c r="C15" s="53"/>
      <c r="D15" s="55" t="s">
        <v>586</v>
      </c>
      <c r="E15" s="53"/>
      <c r="F15" s="53"/>
    </row>
    <row r="16">
      <c r="A16" s="48" t="s">
        <v>526</v>
      </c>
      <c r="B16" s="52"/>
      <c r="C16" s="52"/>
      <c r="D16" s="52"/>
      <c r="E16" s="54" t="s">
        <v>587</v>
      </c>
      <c r="F16" s="52"/>
    </row>
    <row r="17">
      <c r="A17" s="48" t="s">
        <v>527</v>
      </c>
      <c r="B17" s="53"/>
      <c r="C17" s="53"/>
      <c r="D17" s="53"/>
      <c r="E17" s="53"/>
      <c r="F17" s="53"/>
    </row>
    <row r="18">
      <c r="A18" s="48" t="s">
        <v>528</v>
      </c>
      <c r="B18" s="52"/>
      <c r="C18" s="52"/>
      <c r="D18" s="52"/>
      <c r="E18" s="54" t="s">
        <v>588</v>
      </c>
      <c r="F18" s="52"/>
    </row>
    <row r="19">
      <c r="A19" s="48" t="s">
        <v>529</v>
      </c>
      <c r="B19" s="53"/>
      <c r="C19" s="53"/>
      <c r="D19" s="53"/>
      <c r="E19" s="53"/>
      <c r="F19" s="53"/>
    </row>
    <row r="20">
      <c r="A20" s="48" t="s">
        <v>530</v>
      </c>
      <c r="B20" s="54" t="s">
        <v>589</v>
      </c>
      <c r="C20" s="52"/>
      <c r="D20" s="52"/>
      <c r="E20" s="52"/>
      <c r="F20" s="52"/>
    </row>
    <row r="23">
      <c r="A23" s="45" t="s">
        <v>516</v>
      </c>
      <c r="B23" s="46" t="s">
        <v>532</v>
      </c>
    </row>
    <row r="24">
      <c r="A24" s="51" t="s">
        <v>518</v>
      </c>
      <c r="B24" s="51" t="s">
        <v>519</v>
      </c>
      <c r="C24" s="51" t="s">
        <v>520</v>
      </c>
      <c r="D24" s="51" t="s">
        <v>521</v>
      </c>
      <c r="E24" s="51" t="s">
        <v>522</v>
      </c>
      <c r="F24" s="51" t="s">
        <v>523</v>
      </c>
    </row>
    <row r="25">
      <c r="A25" s="48" t="s">
        <v>524</v>
      </c>
      <c r="B25" s="52"/>
      <c r="C25" s="52"/>
      <c r="D25" s="52"/>
      <c r="E25" s="52"/>
      <c r="F25" s="52"/>
    </row>
    <row r="26">
      <c r="A26" s="48" t="s">
        <v>525</v>
      </c>
      <c r="B26" s="53"/>
      <c r="C26" s="55" t="s">
        <v>590</v>
      </c>
      <c r="D26" s="53"/>
      <c r="E26" s="53"/>
      <c r="F26" s="53"/>
    </row>
    <row r="27">
      <c r="A27" s="48" t="s">
        <v>526</v>
      </c>
      <c r="B27" s="52"/>
      <c r="C27" s="52"/>
      <c r="D27" s="52"/>
      <c r="E27" s="52"/>
      <c r="F27" s="52"/>
    </row>
    <row r="28">
      <c r="A28" s="48" t="s">
        <v>527</v>
      </c>
      <c r="B28" s="53"/>
      <c r="C28" s="55" t="s">
        <v>591</v>
      </c>
      <c r="D28" s="53"/>
      <c r="E28" s="53"/>
      <c r="F28" s="53"/>
    </row>
    <row r="29">
      <c r="A29" s="48" t="s">
        <v>528</v>
      </c>
      <c r="B29" s="52"/>
      <c r="C29" s="54" t="s">
        <v>592</v>
      </c>
      <c r="D29" s="52"/>
      <c r="E29" s="52"/>
      <c r="F29" s="52"/>
    </row>
    <row r="30">
      <c r="A30" s="48" t="s">
        <v>529</v>
      </c>
      <c r="B30" s="53"/>
      <c r="C30" s="53"/>
      <c r="D30" s="55" t="s">
        <v>591</v>
      </c>
      <c r="E30" s="53"/>
      <c r="F30" s="53"/>
    </row>
    <row r="31">
      <c r="A31" s="48" t="s">
        <v>530</v>
      </c>
      <c r="B31" s="52"/>
      <c r="C31" s="52"/>
      <c r="D31" s="54" t="s">
        <v>593</v>
      </c>
      <c r="E31" s="52"/>
      <c r="F31" s="52"/>
    </row>
    <row r="34">
      <c r="A34" s="45" t="s">
        <v>516</v>
      </c>
      <c r="B34" s="46" t="s">
        <v>533</v>
      </c>
    </row>
    <row r="35">
      <c r="A35" s="51" t="s">
        <v>518</v>
      </c>
      <c r="B35" s="51" t="s">
        <v>519</v>
      </c>
      <c r="C35" s="51" t="s">
        <v>520</v>
      </c>
      <c r="D35" s="51" t="s">
        <v>521</v>
      </c>
      <c r="E35" s="51" t="s">
        <v>522</v>
      </c>
      <c r="F35" s="51" t="s">
        <v>523</v>
      </c>
    </row>
    <row r="36">
      <c r="A36" s="48" t="s">
        <v>524</v>
      </c>
      <c r="B36" s="52"/>
      <c r="C36" s="52"/>
      <c r="D36" s="52"/>
      <c r="E36" s="52"/>
      <c r="F36" s="52"/>
    </row>
    <row r="37">
      <c r="A37" s="48" t="s">
        <v>525</v>
      </c>
      <c r="B37" s="53"/>
      <c r="C37" s="53"/>
      <c r="D37" s="53"/>
      <c r="E37" s="53"/>
      <c r="F37" s="53"/>
    </row>
    <row r="38">
      <c r="A38" s="48" t="s">
        <v>526</v>
      </c>
      <c r="B38" s="52"/>
      <c r="C38" s="52"/>
      <c r="D38" s="52"/>
      <c r="E38" s="52"/>
      <c r="F38" s="52"/>
    </row>
    <row r="39">
      <c r="A39" s="48" t="s">
        <v>527</v>
      </c>
      <c r="B39" s="53"/>
      <c r="C39" s="53"/>
      <c r="D39" s="53"/>
      <c r="E39" s="53"/>
      <c r="F39" s="53"/>
    </row>
    <row r="40">
      <c r="A40" s="48" t="s">
        <v>528</v>
      </c>
      <c r="B40" s="54" t="s">
        <v>594</v>
      </c>
      <c r="C40" s="52"/>
      <c r="D40" s="52"/>
      <c r="E40" s="52"/>
      <c r="F40" s="54" t="s">
        <v>595</v>
      </c>
    </row>
    <row r="41">
      <c r="A41" s="48" t="s">
        <v>529</v>
      </c>
      <c r="B41" s="55" t="s">
        <v>596</v>
      </c>
      <c r="C41" s="53"/>
      <c r="D41" s="53"/>
      <c r="E41" s="53"/>
      <c r="F41" s="53"/>
    </row>
    <row r="42">
      <c r="A42" s="48" t="s">
        <v>530</v>
      </c>
      <c r="B42" s="52"/>
      <c r="C42" s="54" t="s">
        <v>597</v>
      </c>
      <c r="D42" s="52"/>
      <c r="E42" s="52"/>
      <c r="F42" s="52"/>
    </row>
    <row r="45">
      <c r="A45" s="45" t="s">
        <v>516</v>
      </c>
      <c r="B45" s="46" t="s">
        <v>534</v>
      </c>
    </row>
    <row r="46">
      <c r="A46" s="51" t="s">
        <v>518</v>
      </c>
      <c r="B46" s="51" t="s">
        <v>519</v>
      </c>
      <c r="C46" s="51" t="s">
        <v>520</v>
      </c>
      <c r="D46" s="51" t="s">
        <v>521</v>
      </c>
      <c r="E46" s="51" t="s">
        <v>522</v>
      </c>
      <c r="F46" s="51" t="s">
        <v>523</v>
      </c>
    </row>
    <row r="47">
      <c r="A47" s="48" t="s">
        <v>524</v>
      </c>
      <c r="B47" s="52"/>
      <c r="C47" s="52"/>
      <c r="D47" s="52"/>
      <c r="E47" s="52"/>
      <c r="F47" s="52"/>
    </row>
    <row r="48">
      <c r="A48" s="48" t="s">
        <v>525</v>
      </c>
      <c r="B48" s="55" t="s">
        <v>598</v>
      </c>
      <c r="C48" s="53"/>
      <c r="D48" s="53"/>
      <c r="E48" s="53"/>
      <c r="F48" s="53"/>
    </row>
    <row r="49">
      <c r="A49" s="48" t="s">
        <v>526</v>
      </c>
      <c r="B49" s="52"/>
      <c r="C49" s="52"/>
      <c r="D49" s="52"/>
      <c r="E49" s="52"/>
      <c r="F49" s="52"/>
    </row>
    <row r="50">
      <c r="A50" s="48" t="s">
        <v>527</v>
      </c>
      <c r="B50" s="53"/>
      <c r="C50" s="53"/>
      <c r="D50" s="53"/>
      <c r="E50" s="53"/>
      <c r="F50" s="55" t="s">
        <v>599</v>
      </c>
    </row>
    <row r="51">
      <c r="A51" s="48" t="s">
        <v>528</v>
      </c>
      <c r="B51" s="54" t="s">
        <v>599</v>
      </c>
      <c r="C51" s="52"/>
      <c r="D51" s="52"/>
      <c r="E51" s="52"/>
      <c r="F51" s="54" t="s">
        <v>600</v>
      </c>
    </row>
    <row r="52">
      <c r="A52" s="48" t="s">
        <v>529</v>
      </c>
      <c r="B52" s="53"/>
      <c r="C52" s="53"/>
      <c r="D52" s="53"/>
      <c r="E52" s="53"/>
      <c r="F52" s="53"/>
    </row>
    <row r="53">
      <c r="A53" s="48" t="s">
        <v>530</v>
      </c>
      <c r="B53" s="52"/>
      <c r="C53" s="52"/>
      <c r="D53" s="52"/>
      <c r="E53" s="52"/>
      <c r="F53" s="54" t="s">
        <v>601</v>
      </c>
    </row>
    <row r="56">
      <c r="A56" s="45" t="s">
        <v>516</v>
      </c>
      <c r="B56" s="46" t="s">
        <v>535</v>
      </c>
    </row>
    <row r="57">
      <c r="A57" s="51" t="s">
        <v>518</v>
      </c>
      <c r="B57" s="51" t="s">
        <v>519</v>
      </c>
      <c r="C57" s="51" t="s">
        <v>520</v>
      </c>
      <c r="D57" s="51" t="s">
        <v>521</v>
      </c>
      <c r="E57" s="51" t="s">
        <v>522</v>
      </c>
      <c r="F57" s="51" t="s">
        <v>523</v>
      </c>
    </row>
    <row r="58">
      <c r="A58" s="48" t="s">
        <v>524</v>
      </c>
      <c r="B58" s="52"/>
      <c r="C58" s="52"/>
      <c r="D58" s="52"/>
      <c r="E58" s="52"/>
      <c r="F58" s="52"/>
    </row>
    <row r="59">
      <c r="A59" s="48" t="s">
        <v>525</v>
      </c>
      <c r="B59" s="53"/>
      <c r="C59" s="53"/>
      <c r="D59" s="53"/>
      <c r="E59" s="53"/>
      <c r="F59" s="53"/>
    </row>
    <row r="60">
      <c r="A60" s="48" t="s">
        <v>526</v>
      </c>
      <c r="B60" s="54" t="s">
        <v>602</v>
      </c>
      <c r="C60" s="52"/>
      <c r="D60" s="52"/>
      <c r="E60" s="52"/>
      <c r="F60" s="52"/>
    </row>
    <row r="61">
      <c r="A61" s="48" t="s">
        <v>527</v>
      </c>
      <c r="B61" s="53"/>
      <c r="C61" s="53"/>
      <c r="D61" s="53"/>
      <c r="E61" s="53"/>
      <c r="F61" s="53"/>
    </row>
    <row r="62">
      <c r="A62" s="48" t="s">
        <v>528</v>
      </c>
      <c r="B62" s="54" t="s">
        <v>603</v>
      </c>
      <c r="C62" s="52"/>
      <c r="D62" s="52"/>
      <c r="E62" s="52"/>
      <c r="F62" s="52"/>
    </row>
    <row r="63">
      <c r="A63" s="48" t="s">
        <v>529</v>
      </c>
      <c r="B63" s="53"/>
      <c r="C63" s="53"/>
      <c r="D63" s="53"/>
      <c r="E63" s="53"/>
      <c r="F63" s="53"/>
    </row>
    <row r="64">
      <c r="A64" s="48" t="s">
        <v>530</v>
      </c>
      <c r="B64" s="52"/>
      <c r="C64" s="52"/>
      <c r="D64" s="54" t="s">
        <v>602</v>
      </c>
      <c r="E64" s="52"/>
      <c r="F64" s="52"/>
    </row>
    <row r="67">
      <c r="A67" s="45" t="s">
        <v>516</v>
      </c>
      <c r="B67" s="46" t="s">
        <v>536</v>
      </c>
    </row>
    <row r="68">
      <c r="A68" s="51" t="s">
        <v>518</v>
      </c>
      <c r="B68" s="51" t="s">
        <v>519</v>
      </c>
      <c r="C68" s="51" t="s">
        <v>520</v>
      </c>
      <c r="D68" s="51" t="s">
        <v>521</v>
      </c>
      <c r="E68" s="51" t="s">
        <v>522</v>
      </c>
      <c r="F68" s="51" t="s">
        <v>523</v>
      </c>
    </row>
    <row r="69">
      <c r="A69" s="48" t="s">
        <v>524</v>
      </c>
      <c r="B69" s="52"/>
      <c r="C69" s="52"/>
      <c r="D69" s="52"/>
      <c r="E69" s="52"/>
      <c r="F69" s="54" t="s">
        <v>604</v>
      </c>
    </row>
    <row r="70">
      <c r="A70" s="48" t="s">
        <v>525</v>
      </c>
      <c r="B70" s="53"/>
      <c r="C70" s="53"/>
      <c r="D70" s="53"/>
      <c r="E70" s="53"/>
      <c r="F70" s="53"/>
    </row>
    <row r="71">
      <c r="A71" s="48" t="s">
        <v>526</v>
      </c>
      <c r="B71" s="52"/>
      <c r="C71" s="54" t="s">
        <v>604</v>
      </c>
      <c r="D71" s="52"/>
      <c r="E71" s="52"/>
      <c r="F71" s="52"/>
    </row>
    <row r="72">
      <c r="A72" s="48" t="s">
        <v>527</v>
      </c>
      <c r="B72" s="53"/>
      <c r="C72" s="53"/>
      <c r="D72" s="55" t="s">
        <v>605</v>
      </c>
      <c r="E72" s="53"/>
      <c r="F72" s="53"/>
    </row>
    <row r="73">
      <c r="A73" s="48" t="s">
        <v>528</v>
      </c>
      <c r="B73" s="52"/>
      <c r="C73" s="52"/>
      <c r="D73" s="52"/>
      <c r="E73" s="52"/>
      <c r="F73" s="52"/>
    </row>
    <row r="74">
      <c r="A74" s="48" t="s">
        <v>529</v>
      </c>
      <c r="B74" s="53"/>
      <c r="C74" s="55" t="s">
        <v>605</v>
      </c>
      <c r="D74" s="53"/>
      <c r="E74" s="53"/>
      <c r="F74" s="53"/>
    </row>
    <row r="75">
      <c r="A75" s="48" t="s">
        <v>530</v>
      </c>
      <c r="B75" s="52"/>
      <c r="C75" s="52"/>
      <c r="D75" s="52"/>
      <c r="E75" s="52"/>
      <c r="F75" s="52"/>
    </row>
    <row r="78">
      <c r="A78" s="45" t="s">
        <v>516</v>
      </c>
      <c r="B78" s="46" t="s">
        <v>537</v>
      </c>
    </row>
    <row r="79">
      <c r="A79" s="51" t="s">
        <v>518</v>
      </c>
      <c r="B79" s="51" t="s">
        <v>519</v>
      </c>
      <c r="C79" s="51" t="s">
        <v>520</v>
      </c>
      <c r="D79" s="51" t="s">
        <v>521</v>
      </c>
      <c r="E79" s="51" t="s">
        <v>522</v>
      </c>
      <c r="F79" s="51" t="s">
        <v>523</v>
      </c>
    </row>
    <row r="80">
      <c r="A80" s="48" t="s">
        <v>524</v>
      </c>
      <c r="B80" s="52"/>
      <c r="C80" s="54" t="s">
        <v>606</v>
      </c>
      <c r="D80" s="52"/>
      <c r="E80" s="54" t="s">
        <v>607</v>
      </c>
      <c r="F80" s="52"/>
    </row>
    <row r="81">
      <c r="A81" s="48" t="s">
        <v>525</v>
      </c>
      <c r="B81" s="53"/>
      <c r="C81" s="53"/>
      <c r="D81" s="53"/>
      <c r="E81" s="55" t="s">
        <v>606</v>
      </c>
      <c r="F81" s="53"/>
    </row>
    <row r="82">
      <c r="A82" s="48" t="s">
        <v>526</v>
      </c>
      <c r="B82" s="52"/>
      <c r="C82" s="52"/>
      <c r="D82" s="52"/>
      <c r="E82" s="52"/>
      <c r="F82" s="52"/>
    </row>
    <row r="83">
      <c r="A83" s="48" t="s">
        <v>527</v>
      </c>
      <c r="B83" s="53"/>
      <c r="C83" s="53"/>
      <c r="D83" s="53"/>
      <c r="E83" s="53"/>
      <c r="F83" s="55" t="s">
        <v>608</v>
      </c>
    </row>
    <row r="84">
      <c r="A84" s="48" t="s">
        <v>528</v>
      </c>
      <c r="B84" s="52"/>
      <c r="C84" s="54" t="s">
        <v>608</v>
      </c>
      <c r="D84" s="52"/>
      <c r="E84" s="52"/>
      <c r="F84" s="52"/>
    </row>
    <row r="85">
      <c r="A85" s="48" t="s">
        <v>529</v>
      </c>
      <c r="B85" s="53"/>
      <c r="C85" s="53"/>
      <c r="D85" s="53"/>
      <c r="E85" s="53"/>
      <c r="F85" s="53"/>
    </row>
    <row r="86">
      <c r="A86" s="48" t="s">
        <v>530</v>
      </c>
      <c r="B86" s="52"/>
      <c r="C86" s="52"/>
      <c r="D86" s="52"/>
      <c r="E86" s="52"/>
      <c r="F86" s="52"/>
    </row>
    <row r="89">
      <c r="A89" s="45" t="s">
        <v>516</v>
      </c>
      <c r="B89" s="46" t="s">
        <v>538</v>
      </c>
    </row>
    <row r="90">
      <c r="A90" s="51" t="s">
        <v>518</v>
      </c>
      <c r="B90" s="51" t="s">
        <v>519</v>
      </c>
      <c r="C90" s="51" t="s">
        <v>520</v>
      </c>
      <c r="D90" s="51" t="s">
        <v>521</v>
      </c>
      <c r="E90" s="51" t="s">
        <v>522</v>
      </c>
      <c r="F90" s="51" t="s">
        <v>523</v>
      </c>
    </row>
    <row r="91">
      <c r="A91" s="48" t="s">
        <v>524</v>
      </c>
      <c r="B91" s="52"/>
      <c r="C91" s="52"/>
      <c r="D91" s="52"/>
      <c r="E91" s="52"/>
      <c r="F91" s="52"/>
    </row>
    <row r="92">
      <c r="A92" s="48" t="s">
        <v>525</v>
      </c>
      <c r="B92" s="53"/>
      <c r="C92" s="53"/>
      <c r="D92" s="53"/>
      <c r="E92" s="53"/>
      <c r="F92" s="53"/>
    </row>
    <row r="93">
      <c r="A93" s="48" t="s">
        <v>526</v>
      </c>
      <c r="B93" s="52"/>
      <c r="C93" s="52"/>
      <c r="D93" s="52"/>
      <c r="E93" s="52"/>
      <c r="F93" s="52"/>
    </row>
    <row r="94">
      <c r="A94" s="48" t="s">
        <v>527</v>
      </c>
      <c r="B94" s="55" t="s">
        <v>609</v>
      </c>
      <c r="C94" s="53"/>
      <c r="D94" s="53"/>
      <c r="E94" s="53"/>
      <c r="F94" s="53"/>
    </row>
    <row r="95">
      <c r="A95" s="48" t="s">
        <v>528</v>
      </c>
      <c r="B95" s="52"/>
      <c r="C95" s="52"/>
      <c r="D95" s="54" t="s">
        <v>610</v>
      </c>
      <c r="E95" s="52"/>
      <c r="F95" s="54" t="s">
        <v>611</v>
      </c>
    </row>
    <row r="96">
      <c r="A96" s="48" t="s">
        <v>529</v>
      </c>
      <c r="B96" s="55" t="s">
        <v>610</v>
      </c>
      <c r="C96" s="53"/>
      <c r="D96" s="53"/>
      <c r="E96" s="53"/>
      <c r="F96" s="53"/>
    </row>
    <row r="97">
      <c r="A97" s="48" t="s">
        <v>530</v>
      </c>
      <c r="B97" s="52"/>
      <c r="C97" s="52"/>
      <c r="D97" s="54" t="s">
        <v>609</v>
      </c>
      <c r="E97" s="52"/>
      <c r="F97" s="52"/>
    </row>
    <row r="100">
      <c r="A100" s="45" t="s">
        <v>516</v>
      </c>
      <c r="B100" s="46" t="s">
        <v>539</v>
      </c>
    </row>
    <row r="101">
      <c r="A101" s="51" t="s">
        <v>518</v>
      </c>
      <c r="B101" s="51" t="s">
        <v>519</v>
      </c>
      <c r="C101" s="51" t="s">
        <v>520</v>
      </c>
      <c r="D101" s="51" t="s">
        <v>521</v>
      </c>
      <c r="E101" s="51" t="s">
        <v>522</v>
      </c>
      <c r="F101" s="51" t="s">
        <v>523</v>
      </c>
    </row>
    <row r="102">
      <c r="A102" s="48" t="s">
        <v>524</v>
      </c>
      <c r="B102" s="54" t="s">
        <v>612</v>
      </c>
      <c r="C102" s="52"/>
      <c r="D102" s="52"/>
      <c r="E102" s="52"/>
      <c r="F102" s="52"/>
    </row>
    <row r="103">
      <c r="A103" s="48" t="s">
        <v>525</v>
      </c>
      <c r="B103" s="53"/>
      <c r="C103" s="53"/>
      <c r="D103" s="53"/>
      <c r="E103" s="53"/>
      <c r="F103" s="53"/>
    </row>
    <row r="104">
      <c r="A104" s="48" t="s">
        <v>526</v>
      </c>
      <c r="B104" s="52"/>
      <c r="C104" s="52"/>
      <c r="D104" s="52"/>
      <c r="E104" s="52"/>
      <c r="F104" s="52"/>
    </row>
    <row r="105">
      <c r="A105" s="48" t="s">
        <v>527</v>
      </c>
      <c r="B105" s="55" t="s">
        <v>613</v>
      </c>
      <c r="C105" s="53"/>
      <c r="D105" s="53"/>
      <c r="E105" s="53"/>
      <c r="F105" s="53"/>
    </row>
    <row r="106">
      <c r="A106" s="48" t="s">
        <v>528</v>
      </c>
      <c r="B106" s="52"/>
      <c r="C106" s="52"/>
      <c r="D106" s="52"/>
      <c r="E106" s="52"/>
      <c r="F106" s="52"/>
    </row>
    <row r="107">
      <c r="A107" s="48" t="s">
        <v>529</v>
      </c>
      <c r="B107" s="53"/>
      <c r="C107" s="53"/>
      <c r="D107" s="53"/>
      <c r="E107" s="55" t="s">
        <v>614</v>
      </c>
      <c r="F107" s="55" t="s">
        <v>614</v>
      </c>
    </row>
    <row r="108">
      <c r="A108" s="48" t="s">
        <v>530</v>
      </c>
      <c r="B108" s="52"/>
      <c r="C108" s="52"/>
      <c r="D108" s="52"/>
      <c r="E108" s="52"/>
      <c r="F108" s="54" t="s">
        <v>612</v>
      </c>
    </row>
    <row r="111">
      <c r="A111" s="45" t="s">
        <v>516</v>
      </c>
      <c r="B111" s="46" t="s">
        <v>540</v>
      </c>
    </row>
    <row r="112">
      <c r="A112" s="51" t="s">
        <v>518</v>
      </c>
      <c r="B112" s="51" t="s">
        <v>519</v>
      </c>
      <c r="C112" s="51" t="s">
        <v>520</v>
      </c>
      <c r="D112" s="51" t="s">
        <v>521</v>
      </c>
      <c r="E112" s="51" t="s">
        <v>522</v>
      </c>
      <c r="F112" s="51" t="s">
        <v>523</v>
      </c>
    </row>
    <row r="113">
      <c r="A113" s="48" t="s">
        <v>524</v>
      </c>
      <c r="B113" s="52"/>
      <c r="C113" s="52"/>
      <c r="D113" s="52"/>
      <c r="E113" s="52"/>
      <c r="F113" s="52"/>
    </row>
    <row r="114">
      <c r="A114" s="48" t="s">
        <v>525</v>
      </c>
      <c r="B114" s="53"/>
      <c r="C114" s="53"/>
      <c r="D114" s="55" t="s">
        <v>615</v>
      </c>
      <c r="E114" s="53"/>
      <c r="F114" s="53"/>
    </row>
    <row r="115">
      <c r="A115" s="48" t="s">
        <v>526</v>
      </c>
      <c r="B115" s="52"/>
      <c r="C115" s="52"/>
      <c r="D115" s="54" t="s">
        <v>616</v>
      </c>
      <c r="E115" s="52"/>
      <c r="F115" s="52"/>
    </row>
    <row r="116">
      <c r="A116" s="48" t="s">
        <v>527</v>
      </c>
      <c r="B116" s="53"/>
      <c r="C116" s="53"/>
      <c r="D116" s="55" t="s">
        <v>601</v>
      </c>
      <c r="E116" s="53"/>
      <c r="F116" s="55" t="s">
        <v>616</v>
      </c>
    </row>
    <row r="117">
      <c r="A117" s="48" t="s">
        <v>528</v>
      </c>
      <c r="B117" s="52"/>
      <c r="C117" s="52"/>
      <c r="D117" s="52"/>
      <c r="E117" s="52"/>
      <c r="F117" s="52"/>
    </row>
    <row r="118">
      <c r="A118" s="48" t="s">
        <v>529</v>
      </c>
      <c r="B118" s="53"/>
      <c r="C118" s="53"/>
      <c r="D118" s="53"/>
      <c r="E118" s="53"/>
      <c r="F118" s="53"/>
    </row>
    <row r="119">
      <c r="A119" s="48" t="s">
        <v>530</v>
      </c>
      <c r="B119" s="52"/>
      <c r="C119" s="52"/>
      <c r="D119" s="52"/>
      <c r="E119" s="52"/>
      <c r="F119" s="52"/>
    </row>
    <row r="122">
      <c r="A122" s="45" t="s">
        <v>516</v>
      </c>
      <c r="B122" s="46" t="s">
        <v>541</v>
      </c>
    </row>
    <row r="123">
      <c r="A123" s="51" t="s">
        <v>518</v>
      </c>
      <c r="B123" s="51" t="s">
        <v>519</v>
      </c>
      <c r="C123" s="51" t="s">
        <v>520</v>
      </c>
      <c r="D123" s="51" t="s">
        <v>521</v>
      </c>
      <c r="E123" s="51" t="s">
        <v>522</v>
      </c>
      <c r="F123" s="51" t="s">
        <v>523</v>
      </c>
    </row>
    <row r="124">
      <c r="A124" s="48" t="s">
        <v>524</v>
      </c>
      <c r="B124" s="52"/>
      <c r="C124" s="52"/>
      <c r="D124" s="52"/>
      <c r="E124" s="52"/>
      <c r="F124" s="52"/>
    </row>
    <row r="125">
      <c r="A125" s="48" t="s">
        <v>525</v>
      </c>
      <c r="B125" s="53"/>
      <c r="C125" s="55" t="s">
        <v>617</v>
      </c>
      <c r="D125" s="53"/>
      <c r="E125" s="53"/>
      <c r="F125" s="53"/>
    </row>
    <row r="126">
      <c r="A126" s="48" t="s">
        <v>526</v>
      </c>
      <c r="B126" s="52"/>
      <c r="C126" s="52"/>
      <c r="D126" s="52"/>
      <c r="E126" s="52"/>
      <c r="F126" s="52"/>
    </row>
    <row r="127">
      <c r="A127" s="48" t="s">
        <v>527</v>
      </c>
      <c r="B127" s="53"/>
      <c r="C127" s="53"/>
      <c r="D127" s="53"/>
      <c r="E127" s="53"/>
      <c r="F127" s="53"/>
    </row>
    <row r="128">
      <c r="A128" s="48" t="s">
        <v>528</v>
      </c>
      <c r="B128" s="52"/>
      <c r="C128" s="52"/>
      <c r="D128" s="52"/>
      <c r="E128" s="52"/>
      <c r="F128" s="52"/>
    </row>
    <row r="129">
      <c r="A129" s="48" t="s">
        <v>529</v>
      </c>
      <c r="B129" s="53"/>
      <c r="C129" s="53"/>
      <c r="D129" s="53"/>
      <c r="E129" s="53"/>
      <c r="F129" s="53"/>
    </row>
    <row r="130">
      <c r="A130" s="48" t="s">
        <v>530</v>
      </c>
      <c r="B130" s="52"/>
      <c r="C130" s="54" t="s">
        <v>618</v>
      </c>
      <c r="D130" s="52"/>
      <c r="E130" s="52"/>
      <c r="F130" s="52"/>
    </row>
    <row r="133">
      <c r="A133" s="45" t="s">
        <v>516</v>
      </c>
      <c r="B133" s="46" t="s">
        <v>542</v>
      </c>
    </row>
    <row r="134">
      <c r="A134" s="51" t="s">
        <v>518</v>
      </c>
      <c r="B134" s="51" t="s">
        <v>519</v>
      </c>
      <c r="C134" s="51" t="s">
        <v>520</v>
      </c>
      <c r="D134" s="51" t="s">
        <v>521</v>
      </c>
      <c r="E134" s="51" t="s">
        <v>522</v>
      </c>
      <c r="F134" s="51" t="s">
        <v>523</v>
      </c>
    </row>
    <row r="135">
      <c r="A135" s="48" t="s">
        <v>524</v>
      </c>
      <c r="B135" s="52"/>
      <c r="C135" s="52"/>
      <c r="D135" s="52"/>
      <c r="E135" s="52"/>
      <c r="F135" s="54" t="s">
        <v>619</v>
      </c>
    </row>
    <row r="136">
      <c r="A136" s="48" t="s">
        <v>525</v>
      </c>
      <c r="B136" s="53"/>
      <c r="C136" s="53"/>
      <c r="D136" s="53"/>
      <c r="E136" s="53"/>
      <c r="F136" s="53"/>
    </row>
    <row r="137">
      <c r="A137" s="48" t="s">
        <v>526</v>
      </c>
      <c r="B137" s="52"/>
      <c r="C137" s="52"/>
      <c r="D137" s="54" t="s">
        <v>620</v>
      </c>
      <c r="E137" s="52"/>
      <c r="F137" s="52"/>
    </row>
    <row r="138">
      <c r="A138" s="48" t="s">
        <v>527</v>
      </c>
      <c r="B138" s="53"/>
      <c r="C138" s="53"/>
      <c r="D138" s="53"/>
      <c r="E138" s="53"/>
      <c r="F138" s="53"/>
    </row>
    <row r="139">
      <c r="A139" s="48" t="s">
        <v>528</v>
      </c>
      <c r="B139" s="54" t="s">
        <v>621</v>
      </c>
      <c r="C139" s="52"/>
      <c r="D139" s="52"/>
      <c r="E139" s="52"/>
      <c r="F139" s="52"/>
    </row>
    <row r="140">
      <c r="A140" s="48" t="s">
        <v>529</v>
      </c>
      <c r="B140" s="53"/>
      <c r="C140" s="53"/>
      <c r="D140" s="53"/>
      <c r="E140" s="53"/>
      <c r="F140" s="53"/>
    </row>
    <row r="141">
      <c r="A141" s="48" t="s">
        <v>530</v>
      </c>
      <c r="B141" s="52"/>
      <c r="C141" s="52"/>
      <c r="D141" s="52"/>
      <c r="E141" s="52"/>
      <c r="F141" s="52"/>
    </row>
    <row r="144">
      <c r="A144" s="45" t="s">
        <v>516</v>
      </c>
      <c r="B144" s="46" t="s">
        <v>543</v>
      </c>
    </row>
    <row r="145">
      <c r="A145" s="51" t="s">
        <v>518</v>
      </c>
      <c r="B145" s="51" t="s">
        <v>519</v>
      </c>
      <c r="C145" s="51" t="s">
        <v>520</v>
      </c>
      <c r="D145" s="51" t="s">
        <v>521</v>
      </c>
      <c r="E145" s="51" t="s">
        <v>522</v>
      </c>
      <c r="F145" s="51" t="s">
        <v>523</v>
      </c>
    </row>
    <row r="146">
      <c r="A146" s="48" t="s">
        <v>524</v>
      </c>
      <c r="B146" s="52"/>
      <c r="C146" s="52"/>
      <c r="D146" s="52"/>
      <c r="E146" s="52"/>
      <c r="F146" s="52"/>
    </row>
    <row r="147">
      <c r="A147" s="48" t="s">
        <v>525</v>
      </c>
      <c r="B147" s="53"/>
      <c r="C147" s="55" t="s">
        <v>622</v>
      </c>
      <c r="D147" s="55" t="s">
        <v>623</v>
      </c>
      <c r="E147" s="53"/>
      <c r="F147" s="53"/>
    </row>
    <row r="148">
      <c r="A148" s="48" t="s">
        <v>526</v>
      </c>
      <c r="B148" s="52"/>
      <c r="C148" s="52"/>
      <c r="D148" s="52"/>
      <c r="E148" s="52"/>
      <c r="F148" s="52"/>
    </row>
    <row r="149">
      <c r="A149" s="48" t="s">
        <v>527</v>
      </c>
      <c r="B149" s="53"/>
      <c r="C149" s="53"/>
      <c r="D149" s="55" t="s">
        <v>624</v>
      </c>
      <c r="E149" s="53"/>
      <c r="F149" s="53"/>
    </row>
    <row r="150">
      <c r="A150" s="48" t="s">
        <v>528</v>
      </c>
      <c r="B150" s="52"/>
      <c r="C150" s="52"/>
      <c r="D150" s="52"/>
      <c r="E150" s="52"/>
      <c r="F150" s="52"/>
    </row>
    <row r="151">
      <c r="A151" s="48" t="s">
        <v>529</v>
      </c>
      <c r="B151" s="53"/>
      <c r="C151" s="53"/>
      <c r="D151" s="53"/>
      <c r="E151" s="53"/>
      <c r="F151" s="53"/>
    </row>
    <row r="152">
      <c r="A152" s="48" t="s">
        <v>530</v>
      </c>
      <c r="B152" s="54" t="s">
        <v>625</v>
      </c>
      <c r="C152" s="52"/>
      <c r="D152" s="52"/>
      <c r="E152" s="52"/>
      <c r="F152" s="52"/>
    </row>
    <row r="155">
      <c r="A155" s="45" t="s">
        <v>516</v>
      </c>
      <c r="B155" s="46" t="s">
        <v>544</v>
      </c>
    </row>
    <row r="156">
      <c r="A156" s="51" t="s">
        <v>518</v>
      </c>
      <c r="B156" s="51" t="s">
        <v>519</v>
      </c>
      <c r="C156" s="51" t="s">
        <v>520</v>
      </c>
      <c r="D156" s="51" t="s">
        <v>521</v>
      </c>
      <c r="E156" s="51" t="s">
        <v>522</v>
      </c>
      <c r="F156" s="51" t="s">
        <v>523</v>
      </c>
    </row>
    <row r="157">
      <c r="A157" s="48" t="s">
        <v>524</v>
      </c>
      <c r="B157" s="52"/>
      <c r="C157" s="52"/>
      <c r="D157" s="52"/>
      <c r="E157" s="52"/>
      <c r="F157" s="52"/>
    </row>
    <row r="158">
      <c r="A158" s="48" t="s">
        <v>525</v>
      </c>
      <c r="B158" s="53"/>
      <c r="C158" s="53"/>
      <c r="D158" s="53"/>
      <c r="E158" s="53"/>
      <c r="F158" s="53"/>
    </row>
    <row r="159">
      <c r="A159" s="48" t="s">
        <v>526</v>
      </c>
      <c r="B159" s="52"/>
      <c r="C159" s="52"/>
      <c r="D159" s="52"/>
      <c r="E159" s="52"/>
      <c r="F159" s="52"/>
    </row>
    <row r="160">
      <c r="A160" s="48" t="s">
        <v>527</v>
      </c>
      <c r="B160" s="53"/>
      <c r="C160" s="53"/>
      <c r="D160" s="55" t="s">
        <v>626</v>
      </c>
      <c r="E160" s="53"/>
      <c r="F160" s="53"/>
    </row>
    <row r="161">
      <c r="A161" s="48" t="s">
        <v>528</v>
      </c>
      <c r="B161" s="52"/>
      <c r="C161" s="52"/>
      <c r="D161" s="52"/>
      <c r="E161" s="52"/>
      <c r="F161" s="52"/>
    </row>
    <row r="162">
      <c r="A162" s="48" t="s">
        <v>529</v>
      </c>
      <c r="B162" s="55" t="s">
        <v>627</v>
      </c>
      <c r="C162" s="53"/>
      <c r="D162" s="53"/>
      <c r="E162" s="53"/>
      <c r="F162" s="53"/>
    </row>
    <row r="163">
      <c r="A163" s="48" t="s">
        <v>530</v>
      </c>
      <c r="B163" s="54" t="s">
        <v>626</v>
      </c>
      <c r="C163" s="54" t="s">
        <v>628</v>
      </c>
      <c r="D163" s="52"/>
      <c r="E163" s="52"/>
      <c r="F163" s="52"/>
    </row>
    <row r="166">
      <c r="A166" s="45" t="s">
        <v>516</v>
      </c>
      <c r="B166" s="46" t="s">
        <v>545</v>
      </c>
    </row>
    <row r="167">
      <c r="A167" s="51" t="s">
        <v>518</v>
      </c>
      <c r="B167" s="51" t="s">
        <v>519</v>
      </c>
      <c r="C167" s="51" t="s">
        <v>520</v>
      </c>
      <c r="D167" s="51" t="s">
        <v>521</v>
      </c>
      <c r="E167" s="51" t="s">
        <v>522</v>
      </c>
      <c r="F167" s="51" t="s">
        <v>523</v>
      </c>
    </row>
    <row r="168">
      <c r="A168" s="48" t="s">
        <v>524</v>
      </c>
      <c r="B168" s="52"/>
      <c r="C168" s="52"/>
      <c r="D168" s="52"/>
      <c r="E168" s="52"/>
      <c r="F168" s="52"/>
    </row>
    <row r="169">
      <c r="A169" s="48" t="s">
        <v>525</v>
      </c>
      <c r="B169" s="53"/>
      <c r="C169" s="53"/>
      <c r="D169" s="53"/>
      <c r="E169" s="53"/>
      <c r="F169" s="53"/>
    </row>
    <row r="170">
      <c r="A170" s="48" t="s">
        <v>526</v>
      </c>
      <c r="B170" s="54" t="s">
        <v>629</v>
      </c>
      <c r="C170" s="52"/>
      <c r="D170" s="54" t="s">
        <v>630</v>
      </c>
      <c r="E170" s="52"/>
      <c r="F170" s="52"/>
    </row>
    <row r="171">
      <c r="A171" s="48" t="s">
        <v>527</v>
      </c>
      <c r="B171" s="53"/>
      <c r="C171" s="53"/>
      <c r="D171" s="55" t="s">
        <v>629</v>
      </c>
      <c r="E171" s="53"/>
      <c r="F171" s="53"/>
    </row>
    <row r="172">
      <c r="A172" s="48" t="s">
        <v>528</v>
      </c>
      <c r="B172" s="54" t="s">
        <v>631</v>
      </c>
      <c r="C172" s="52"/>
      <c r="D172" s="52"/>
      <c r="E172" s="52"/>
      <c r="F172" s="52"/>
    </row>
    <row r="173">
      <c r="A173" s="48" t="s">
        <v>529</v>
      </c>
      <c r="B173" s="53"/>
      <c r="C173" s="53"/>
      <c r="D173" s="53"/>
      <c r="E173" s="55" t="s">
        <v>632</v>
      </c>
      <c r="F173" s="53"/>
    </row>
    <row r="174">
      <c r="A174" s="48" t="s">
        <v>530</v>
      </c>
      <c r="B174" s="52"/>
      <c r="C174" s="52"/>
      <c r="D174" s="52"/>
      <c r="E174" s="52"/>
      <c r="F174" s="52"/>
    </row>
    <row r="177">
      <c r="A177" s="45" t="s">
        <v>516</v>
      </c>
      <c r="B177" s="46" t="s">
        <v>546</v>
      </c>
    </row>
    <row r="178">
      <c r="A178" s="51" t="s">
        <v>518</v>
      </c>
      <c r="B178" s="51" t="s">
        <v>519</v>
      </c>
      <c r="C178" s="51" t="s">
        <v>520</v>
      </c>
      <c r="D178" s="51" t="s">
        <v>521</v>
      </c>
      <c r="E178" s="51" t="s">
        <v>522</v>
      </c>
      <c r="F178" s="51" t="s">
        <v>523</v>
      </c>
    </row>
    <row r="179">
      <c r="A179" s="48" t="s">
        <v>524</v>
      </c>
      <c r="B179" s="52"/>
      <c r="C179" s="52"/>
      <c r="D179" s="52"/>
      <c r="E179" s="52"/>
      <c r="F179" s="54" t="s">
        <v>633</v>
      </c>
    </row>
    <row r="180">
      <c r="A180" s="48" t="s">
        <v>525</v>
      </c>
      <c r="B180" s="53"/>
      <c r="C180" s="53"/>
      <c r="D180" s="53"/>
      <c r="E180" s="53"/>
      <c r="F180" s="53"/>
    </row>
    <row r="181">
      <c r="A181" s="48" t="s">
        <v>526</v>
      </c>
      <c r="B181" s="52"/>
      <c r="C181" s="52"/>
      <c r="D181" s="52"/>
      <c r="E181" s="52"/>
      <c r="F181" s="52"/>
    </row>
    <row r="182">
      <c r="A182" s="48" t="s">
        <v>527</v>
      </c>
      <c r="B182" s="53"/>
      <c r="C182" s="55" t="s">
        <v>634</v>
      </c>
      <c r="D182" s="53"/>
      <c r="E182" s="53"/>
      <c r="F182" s="53"/>
    </row>
    <row r="183">
      <c r="A183" s="48" t="s">
        <v>528</v>
      </c>
      <c r="B183" s="52"/>
      <c r="C183" s="54" t="s">
        <v>635</v>
      </c>
      <c r="D183" s="52"/>
      <c r="E183" s="54" t="s">
        <v>636</v>
      </c>
      <c r="F183" s="52"/>
    </row>
    <row r="184">
      <c r="A184" s="48" t="s">
        <v>529</v>
      </c>
      <c r="B184" s="53"/>
      <c r="C184" s="53"/>
      <c r="D184" s="53"/>
      <c r="E184" s="55" t="s">
        <v>634</v>
      </c>
      <c r="F184" s="53"/>
    </row>
    <row r="185">
      <c r="A185" s="48" t="s">
        <v>530</v>
      </c>
      <c r="B185" s="52"/>
      <c r="C185" s="52"/>
      <c r="D185" s="52"/>
      <c r="E185" s="52"/>
      <c r="F185" s="52"/>
    </row>
    <row r="188">
      <c r="A188" s="45" t="s">
        <v>516</v>
      </c>
      <c r="B188" s="46" t="s">
        <v>547</v>
      </c>
    </row>
    <row r="189">
      <c r="A189" s="51" t="s">
        <v>518</v>
      </c>
      <c r="B189" s="51" t="s">
        <v>519</v>
      </c>
      <c r="C189" s="51" t="s">
        <v>520</v>
      </c>
      <c r="D189" s="51" t="s">
        <v>521</v>
      </c>
      <c r="E189" s="51" t="s">
        <v>522</v>
      </c>
      <c r="F189" s="51" t="s">
        <v>523</v>
      </c>
    </row>
    <row r="190">
      <c r="A190" s="48" t="s">
        <v>524</v>
      </c>
      <c r="B190" s="52"/>
      <c r="C190" s="52"/>
      <c r="D190" s="52"/>
      <c r="E190" s="52"/>
      <c r="F190" s="52"/>
    </row>
    <row r="191">
      <c r="A191" s="48" t="s">
        <v>525</v>
      </c>
      <c r="B191" s="53"/>
      <c r="C191" s="53"/>
      <c r="D191" s="53"/>
      <c r="E191" s="53"/>
      <c r="F191" s="53"/>
    </row>
    <row r="192">
      <c r="A192" s="48" t="s">
        <v>526</v>
      </c>
      <c r="B192" s="54" t="s">
        <v>637</v>
      </c>
      <c r="C192" s="54" t="s">
        <v>638</v>
      </c>
      <c r="D192" s="52"/>
      <c r="E192" s="52"/>
      <c r="F192" s="52"/>
    </row>
    <row r="193">
      <c r="A193" s="48" t="s">
        <v>527</v>
      </c>
      <c r="B193" s="53"/>
      <c r="C193" s="55" t="s">
        <v>637</v>
      </c>
      <c r="D193" s="53"/>
      <c r="E193" s="53"/>
      <c r="F193" s="53"/>
    </row>
    <row r="194">
      <c r="A194" s="48" t="s">
        <v>528</v>
      </c>
      <c r="B194" s="54" t="s">
        <v>639</v>
      </c>
      <c r="C194" s="52"/>
      <c r="D194" s="54" t="s">
        <v>637</v>
      </c>
      <c r="E194" s="52"/>
      <c r="F194" s="52"/>
    </row>
    <row r="195">
      <c r="A195" s="48" t="s">
        <v>529</v>
      </c>
      <c r="B195" s="53"/>
      <c r="C195" s="53"/>
      <c r="D195" s="53"/>
      <c r="E195" s="53"/>
      <c r="F195" s="53"/>
    </row>
    <row r="196">
      <c r="A196" s="48" t="s">
        <v>530</v>
      </c>
      <c r="B196" s="52"/>
      <c r="C196" s="52"/>
      <c r="D196" s="54" t="s">
        <v>638</v>
      </c>
      <c r="E196" s="52"/>
      <c r="F196" s="52"/>
    </row>
    <row r="199">
      <c r="A199" s="45" t="s">
        <v>516</v>
      </c>
      <c r="B199" s="46" t="s">
        <v>548</v>
      </c>
    </row>
    <row r="200">
      <c r="A200" s="51" t="s">
        <v>518</v>
      </c>
      <c r="B200" s="51" t="s">
        <v>519</v>
      </c>
      <c r="C200" s="51" t="s">
        <v>520</v>
      </c>
      <c r="D200" s="51" t="s">
        <v>521</v>
      </c>
      <c r="E200" s="51" t="s">
        <v>522</v>
      </c>
      <c r="F200" s="51" t="s">
        <v>523</v>
      </c>
    </row>
    <row r="201">
      <c r="A201" s="48" t="s">
        <v>524</v>
      </c>
      <c r="B201" s="52"/>
      <c r="C201" s="54" t="s">
        <v>640</v>
      </c>
      <c r="D201" s="52"/>
      <c r="E201" s="52"/>
      <c r="F201" s="52"/>
    </row>
    <row r="202">
      <c r="A202" s="48" t="s">
        <v>525</v>
      </c>
      <c r="B202" s="55" t="s">
        <v>641</v>
      </c>
      <c r="C202" s="53"/>
      <c r="D202" s="53"/>
      <c r="E202" s="53"/>
      <c r="F202" s="53"/>
    </row>
    <row r="203">
      <c r="A203" s="48" t="s">
        <v>526</v>
      </c>
      <c r="B203" s="52"/>
      <c r="C203" s="52"/>
      <c r="D203" s="52"/>
      <c r="E203" s="52"/>
      <c r="F203" s="52"/>
    </row>
    <row r="204">
      <c r="A204" s="48" t="s">
        <v>527</v>
      </c>
      <c r="B204" s="55" t="s">
        <v>640</v>
      </c>
      <c r="C204" s="53"/>
      <c r="D204" s="53"/>
      <c r="E204" s="53"/>
      <c r="F204" s="53"/>
    </row>
    <row r="205">
      <c r="A205" s="48" t="s">
        <v>528</v>
      </c>
      <c r="B205" s="52"/>
      <c r="C205" s="52"/>
      <c r="D205" s="54" t="s">
        <v>642</v>
      </c>
      <c r="E205" s="52"/>
      <c r="F205" s="52"/>
    </row>
    <row r="206">
      <c r="A206" s="48" t="s">
        <v>529</v>
      </c>
      <c r="B206" s="53"/>
      <c r="C206" s="53"/>
      <c r="D206" s="53"/>
      <c r="E206" s="53"/>
      <c r="F206" s="53"/>
    </row>
    <row r="207">
      <c r="A207" s="48" t="s">
        <v>530</v>
      </c>
      <c r="B207" s="52"/>
      <c r="C207" s="52"/>
      <c r="D207" s="54" t="s">
        <v>643</v>
      </c>
      <c r="E207" s="52"/>
      <c r="F207" s="52"/>
    </row>
    <row r="210">
      <c r="A210" s="45" t="s">
        <v>516</v>
      </c>
      <c r="B210" s="46" t="s">
        <v>549</v>
      </c>
    </row>
    <row r="211">
      <c r="A211" s="51" t="s">
        <v>518</v>
      </c>
      <c r="B211" s="51" t="s">
        <v>519</v>
      </c>
      <c r="C211" s="51" t="s">
        <v>520</v>
      </c>
      <c r="D211" s="51" t="s">
        <v>521</v>
      </c>
      <c r="E211" s="51" t="s">
        <v>522</v>
      </c>
      <c r="F211" s="51" t="s">
        <v>523</v>
      </c>
    </row>
    <row r="212">
      <c r="A212" s="48" t="s">
        <v>524</v>
      </c>
      <c r="B212" s="52"/>
      <c r="C212" s="52"/>
      <c r="D212" s="52"/>
      <c r="E212" s="52"/>
      <c r="F212" s="54" t="s">
        <v>644</v>
      </c>
    </row>
    <row r="213">
      <c r="A213" s="48" t="s">
        <v>525</v>
      </c>
      <c r="B213" s="53"/>
      <c r="C213" s="53"/>
      <c r="D213" s="53"/>
      <c r="E213" s="53"/>
      <c r="F213" s="53"/>
    </row>
    <row r="214">
      <c r="A214" s="48" t="s">
        <v>526</v>
      </c>
      <c r="B214" s="52"/>
      <c r="C214" s="52"/>
      <c r="D214" s="52"/>
      <c r="E214" s="52"/>
      <c r="F214" s="52"/>
    </row>
    <row r="215">
      <c r="A215" s="48" t="s">
        <v>527</v>
      </c>
      <c r="B215" s="53"/>
      <c r="C215" s="53"/>
      <c r="D215" s="53"/>
      <c r="E215" s="53"/>
      <c r="F215" s="53"/>
    </row>
    <row r="216">
      <c r="A216" s="48" t="s">
        <v>528</v>
      </c>
      <c r="B216" s="52"/>
      <c r="C216" s="52"/>
      <c r="D216" s="52"/>
      <c r="E216" s="54" t="s">
        <v>645</v>
      </c>
      <c r="F216" s="54" t="s">
        <v>646</v>
      </c>
    </row>
    <row r="217">
      <c r="A217" s="48" t="s">
        <v>529</v>
      </c>
      <c r="B217" s="55" t="s">
        <v>647</v>
      </c>
      <c r="C217" s="53"/>
      <c r="D217" s="53"/>
      <c r="E217" s="53"/>
      <c r="F217" s="53"/>
    </row>
    <row r="218">
      <c r="A218" s="48" t="s">
        <v>530</v>
      </c>
      <c r="B218" s="52"/>
      <c r="C218" s="52"/>
      <c r="D218" s="52"/>
      <c r="E218" s="52"/>
      <c r="F218" s="52"/>
    </row>
    <row r="221">
      <c r="A221" s="45" t="s">
        <v>516</v>
      </c>
      <c r="B221" s="46" t="s">
        <v>550</v>
      </c>
    </row>
    <row r="222">
      <c r="A222" s="51" t="s">
        <v>518</v>
      </c>
      <c r="B222" s="51" t="s">
        <v>519</v>
      </c>
      <c r="C222" s="51" t="s">
        <v>520</v>
      </c>
      <c r="D222" s="51" t="s">
        <v>521</v>
      </c>
      <c r="E222" s="51" t="s">
        <v>522</v>
      </c>
      <c r="F222" s="51" t="s">
        <v>523</v>
      </c>
    </row>
    <row r="223">
      <c r="A223" s="48" t="s">
        <v>524</v>
      </c>
      <c r="B223" s="52"/>
      <c r="C223" s="52"/>
      <c r="D223" s="52"/>
      <c r="E223" s="52"/>
      <c r="F223" s="52"/>
    </row>
    <row r="224">
      <c r="A224" s="48" t="s">
        <v>525</v>
      </c>
      <c r="B224" s="53"/>
      <c r="C224" s="53"/>
      <c r="D224" s="53"/>
      <c r="E224" s="53"/>
      <c r="F224" s="53"/>
    </row>
    <row r="225">
      <c r="A225" s="48" t="s">
        <v>526</v>
      </c>
      <c r="B225" s="52"/>
      <c r="C225" s="52"/>
      <c r="D225" s="52"/>
      <c r="E225" s="52"/>
      <c r="F225" s="52"/>
    </row>
    <row r="226">
      <c r="A226" s="48" t="s">
        <v>527</v>
      </c>
      <c r="B226" s="55" t="s">
        <v>648</v>
      </c>
      <c r="C226" s="55" t="s">
        <v>649</v>
      </c>
      <c r="D226" s="53"/>
      <c r="E226" s="53"/>
      <c r="F226" s="53"/>
    </row>
    <row r="227">
      <c r="A227" s="48" t="s">
        <v>528</v>
      </c>
      <c r="B227" s="54" t="s">
        <v>650</v>
      </c>
      <c r="C227" s="54" t="s">
        <v>651</v>
      </c>
      <c r="D227" s="52"/>
      <c r="E227" s="52"/>
      <c r="F227" s="52"/>
    </row>
    <row r="228">
      <c r="A228" s="48" t="s">
        <v>529</v>
      </c>
      <c r="B228" s="53"/>
      <c r="C228" s="53"/>
      <c r="D228" s="55" t="s">
        <v>652</v>
      </c>
      <c r="E228" s="53"/>
      <c r="F228" s="53"/>
    </row>
    <row r="229">
      <c r="A229" s="48" t="s">
        <v>530</v>
      </c>
      <c r="B229" s="52"/>
      <c r="C229" s="52"/>
      <c r="D229" s="52"/>
      <c r="E229" s="52"/>
      <c r="F229" s="52"/>
    </row>
    <row r="232">
      <c r="A232" s="45" t="s">
        <v>516</v>
      </c>
      <c r="B232" s="46" t="s">
        <v>551</v>
      </c>
    </row>
    <row r="233">
      <c r="A233" s="51" t="s">
        <v>518</v>
      </c>
      <c r="B233" s="51" t="s">
        <v>519</v>
      </c>
      <c r="C233" s="51" t="s">
        <v>520</v>
      </c>
      <c r="D233" s="51" t="s">
        <v>521</v>
      </c>
      <c r="E233" s="51" t="s">
        <v>522</v>
      </c>
      <c r="F233" s="51" t="s">
        <v>523</v>
      </c>
    </row>
    <row r="234">
      <c r="A234" s="48" t="s">
        <v>524</v>
      </c>
      <c r="B234" s="52"/>
      <c r="C234" s="52"/>
      <c r="D234" s="52"/>
      <c r="E234" s="54" t="s">
        <v>653</v>
      </c>
      <c r="F234" s="52"/>
    </row>
    <row r="235">
      <c r="A235" s="48" t="s">
        <v>525</v>
      </c>
      <c r="B235" s="53"/>
      <c r="C235" s="53"/>
      <c r="D235" s="53"/>
      <c r="E235" s="53"/>
      <c r="F235" s="53"/>
    </row>
    <row r="236">
      <c r="A236" s="48" t="s">
        <v>526</v>
      </c>
      <c r="B236" s="52"/>
      <c r="C236" s="52"/>
      <c r="D236" s="52"/>
      <c r="E236" s="52"/>
      <c r="F236" s="52"/>
    </row>
    <row r="237">
      <c r="A237" s="48" t="s">
        <v>527</v>
      </c>
      <c r="B237" s="53"/>
      <c r="C237" s="53"/>
      <c r="D237" s="53"/>
      <c r="E237" s="53"/>
      <c r="F237" s="53"/>
    </row>
    <row r="238">
      <c r="A238" s="48" t="s">
        <v>528</v>
      </c>
      <c r="B238" s="52"/>
      <c r="C238" s="52"/>
      <c r="D238" s="52"/>
      <c r="E238" s="52"/>
      <c r="F238" s="52"/>
    </row>
    <row r="239">
      <c r="A239" s="48" t="s">
        <v>529</v>
      </c>
      <c r="B239" s="53"/>
      <c r="C239" s="53"/>
      <c r="D239" s="55" t="s">
        <v>654</v>
      </c>
      <c r="E239" s="55" t="s">
        <v>655</v>
      </c>
      <c r="F239" s="53"/>
    </row>
    <row r="240">
      <c r="A240" s="48" t="s">
        <v>530</v>
      </c>
      <c r="B240" s="52"/>
      <c r="C240" s="52"/>
      <c r="D240" s="52"/>
      <c r="E240" s="52"/>
      <c r="F240" s="54" t="s">
        <v>655</v>
      </c>
    </row>
    <row r="243">
      <c r="A243" s="45" t="s">
        <v>516</v>
      </c>
      <c r="B243" s="46" t="s">
        <v>552</v>
      </c>
    </row>
    <row r="244">
      <c r="A244" s="51" t="s">
        <v>518</v>
      </c>
      <c r="B244" s="51" t="s">
        <v>519</v>
      </c>
      <c r="C244" s="51" t="s">
        <v>520</v>
      </c>
      <c r="D244" s="51" t="s">
        <v>521</v>
      </c>
      <c r="E244" s="51" t="s">
        <v>522</v>
      </c>
      <c r="F244" s="51" t="s">
        <v>523</v>
      </c>
    </row>
    <row r="245">
      <c r="A245" s="48" t="s">
        <v>524</v>
      </c>
      <c r="B245" s="52"/>
      <c r="C245" s="52"/>
      <c r="D245" s="52"/>
      <c r="E245" s="52"/>
      <c r="F245" s="52"/>
    </row>
    <row r="246">
      <c r="A246" s="48" t="s">
        <v>525</v>
      </c>
      <c r="B246" s="53"/>
      <c r="C246" s="53"/>
      <c r="D246" s="53"/>
      <c r="E246" s="55" t="s">
        <v>656</v>
      </c>
      <c r="F246" s="53"/>
    </row>
    <row r="247">
      <c r="A247" s="48" t="s">
        <v>526</v>
      </c>
      <c r="B247" s="54" t="s">
        <v>657</v>
      </c>
      <c r="C247" s="52"/>
      <c r="D247" s="52"/>
      <c r="E247" s="52"/>
      <c r="F247" s="52"/>
    </row>
    <row r="248">
      <c r="A248" s="48" t="s">
        <v>527</v>
      </c>
      <c r="B248" s="53"/>
      <c r="C248" s="53"/>
      <c r="D248" s="53"/>
      <c r="E248" s="53"/>
      <c r="F248" s="53"/>
    </row>
    <row r="249">
      <c r="A249" s="48" t="s">
        <v>528</v>
      </c>
      <c r="B249" s="52"/>
      <c r="C249" s="52"/>
      <c r="D249" s="52"/>
      <c r="E249" s="52"/>
      <c r="F249" s="52"/>
    </row>
    <row r="250">
      <c r="A250" s="48" t="s">
        <v>529</v>
      </c>
      <c r="B250" s="53"/>
      <c r="C250" s="53"/>
      <c r="D250" s="53"/>
      <c r="E250" s="55" t="s">
        <v>656</v>
      </c>
      <c r="F250" s="53"/>
    </row>
    <row r="251">
      <c r="A251" s="48" t="s">
        <v>530</v>
      </c>
      <c r="B251" s="52"/>
      <c r="C251" s="54" t="s">
        <v>657</v>
      </c>
      <c r="D251" s="52"/>
      <c r="E251" s="54" t="s">
        <v>656</v>
      </c>
      <c r="F251" s="52"/>
    </row>
    <row r="254">
      <c r="A254" s="45" t="s">
        <v>516</v>
      </c>
      <c r="B254" s="46" t="s">
        <v>553</v>
      </c>
    </row>
    <row r="255">
      <c r="A255" s="51" t="s">
        <v>518</v>
      </c>
      <c r="B255" s="51" t="s">
        <v>519</v>
      </c>
      <c r="C255" s="51" t="s">
        <v>520</v>
      </c>
      <c r="D255" s="51" t="s">
        <v>521</v>
      </c>
      <c r="E255" s="51" t="s">
        <v>522</v>
      </c>
      <c r="F255" s="51" t="s">
        <v>523</v>
      </c>
    </row>
    <row r="256">
      <c r="A256" s="48" t="s">
        <v>524</v>
      </c>
      <c r="B256" s="52"/>
      <c r="C256" s="52"/>
      <c r="D256" s="52"/>
      <c r="E256" s="52"/>
      <c r="F256" s="52"/>
    </row>
    <row r="257">
      <c r="A257" s="48" t="s">
        <v>525</v>
      </c>
      <c r="B257" s="53"/>
      <c r="C257" s="53"/>
      <c r="D257" s="53"/>
      <c r="E257" s="53"/>
      <c r="F257" s="53"/>
    </row>
    <row r="258">
      <c r="A258" s="48" t="s">
        <v>526</v>
      </c>
      <c r="B258" s="52"/>
      <c r="C258" s="52"/>
      <c r="D258" s="52"/>
      <c r="E258" s="52"/>
      <c r="F258" s="52"/>
    </row>
    <row r="259">
      <c r="A259" s="48" t="s">
        <v>527</v>
      </c>
      <c r="B259" s="53"/>
      <c r="C259" s="55" t="s">
        <v>658</v>
      </c>
      <c r="D259" s="53"/>
      <c r="E259" s="53"/>
      <c r="F259" s="55" t="s">
        <v>659</v>
      </c>
    </row>
    <row r="260">
      <c r="A260" s="48" t="s">
        <v>528</v>
      </c>
      <c r="B260" s="52"/>
      <c r="C260" s="52"/>
      <c r="D260" s="52"/>
      <c r="E260" s="52"/>
      <c r="F260" s="52"/>
    </row>
    <row r="261">
      <c r="A261" s="48" t="s">
        <v>529</v>
      </c>
      <c r="B261" s="53"/>
      <c r="C261" s="53"/>
      <c r="D261" s="53"/>
      <c r="E261" s="53"/>
      <c r="F261" s="53"/>
    </row>
    <row r="262">
      <c r="A262" s="48" t="s">
        <v>530</v>
      </c>
      <c r="B262" s="52"/>
      <c r="C262" s="52"/>
      <c r="D262" s="52"/>
      <c r="E262" s="52"/>
      <c r="F262" s="54" t="s">
        <v>658</v>
      </c>
    </row>
    <row r="265">
      <c r="A265" s="45" t="s">
        <v>516</v>
      </c>
      <c r="B265" s="46" t="s">
        <v>554</v>
      </c>
    </row>
    <row r="266">
      <c r="A266" s="51" t="s">
        <v>518</v>
      </c>
      <c r="B266" s="51" t="s">
        <v>519</v>
      </c>
      <c r="C266" s="51" t="s">
        <v>520</v>
      </c>
      <c r="D266" s="51" t="s">
        <v>521</v>
      </c>
      <c r="E266" s="51" t="s">
        <v>522</v>
      </c>
      <c r="F266" s="51" t="s">
        <v>523</v>
      </c>
    </row>
    <row r="267">
      <c r="A267" s="48" t="s">
        <v>524</v>
      </c>
      <c r="B267" s="52"/>
      <c r="C267" s="52"/>
      <c r="D267" s="52"/>
      <c r="E267" s="52"/>
      <c r="F267" s="52"/>
    </row>
    <row r="268">
      <c r="A268" s="48" t="s">
        <v>525</v>
      </c>
      <c r="B268" s="53"/>
      <c r="C268" s="53"/>
      <c r="D268" s="53"/>
      <c r="E268" s="53"/>
      <c r="F268" s="53"/>
    </row>
    <row r="269">
      <c r="A269" s="48" t="s">
        <v>526</v>
      </c>
      <c r="B269" s="52"/>
      <c r="C269" s="52"/>
      <c r="D269" s="52"/>
      <c r="E269" s="54" t="s">
        <v>660</v>
      </c>
      <c r="F269" s="52"/>
    </row>
    <row r="270">
      <c r="A270" s="48" t="s">
        <v>527</v>
      </c>
      <c r="B270" s="53"/>
      <c r="C270" s="53"/>
      <c r="D270" s="53"/>
      <c r="E270" s="53"/>
      <c r="F270" s="53"/>
    </row>
    <row r="271">
      <c r="A271" s="48" t="s">
        <v>528</v>
      </c>
      <c r="B271" s="54" t="s">
        <v>661</v>
      </c>
      <c r="C271" s="52"/>
      <c r="D271" s="52"/>
      <c r="E271" s="52"/>
      <c r="F271" s="52"/>
    </row>
    <row r="272">
      <c r="A272" s="48" t="s">
        <v>529</v>
      </c>
      <c r="B272" s="55" t="s">
        <v>660</v>
      </c>
      <c r="C272" s="53"/>
      <c r="D272" s="53"/>
      <c r="E272" s="53"/>
      <c r="F272" s="53"/>
    </row>
    <row r="273">
      <c r="A273" s="48" t="s">
        <v>530</v>
      </c>
      <c r="B273" s="52"/>
      <c r="C273" s="52"/>
      <c r="D273" s="54" t="s">
        <v>662</v>
      </c>
      <c r="E273" s="52"/>
      <c r="F273" s="52"/>
    </row>
    <row r="276">
      <c r="A276" s="45" t="s">
        <v>516</v>
      </c>
      <c r="B276" s="46" t="s">
        <v>555</v>
      </c>
    </row>
    <row r="277">
      <c r="A277" s="51" t="s">
        <v>518</v>
      </c>
      <c r="B277" s="51" t="s">
        <v>519</v>
      </c>
      <c r="C277" s="51" t="s">
        <v>520</v>
      </c>
      <c r="D277" s="51" t="s">
        <v>521</v>
      </c>
      <c r="E277" s="51" t="s">
        <v>522</v>
      </c>
      <c r="F277" s="51" t="s">
        <v>523</v>
      </c>
    </row>
    <row r="278">
      <c r="A278" s="48" t="s">
        <v>524</v>
      </c>
      <c r="B278" s="52"/>
      <c r="C278" s="52"/>
      <c r="D278" s="52"/>
      <c r="E278" s="52"/>
      <c r="F278" s="52"/>
    </row>
    <row r="279">
      <c r="A279" s="48" t="s">
        <v>525</v>
      </c>
      <c r="B279" s="53"/>
      <c r="C279" s="53"/>
      <c r="D279" s="53"/>
      <c r="E279" s="53"/>
      <c r="F279" s="53"/>
    </row>
    <row r="280">
      <c r="A280" s="48" t="s">
        <v>526</v>
      </c>
      <c r="B280" s="52"/>
      <c r="C280" s="52"/>
      <c r="D280" s="52"/>
      <c r="E280" s="52"/>
      <c r="F280" s="54" t="s">
        <v>663</v>
      </c>
    </row>
    <row r="281">
      <c r="A281" s="48" t="s">
        <v>527</v>
      </c>
      <c r="B281" s="55" t="s">
        <v>664</v>
      </c>
      <c r="C281" s="53"/>
      <c r="D281" s="53"/>
      <c r="E281" s="53"/>
      <c r="F281" s="53"/>
    </row>
    <row r="282">
      <c r="A282" s="48" t="s">
        <v>528</v>
      </c>
      <c r="B282" s="52"/>
      <c r="C282" s="52"/>
      <c r="D282" s="52"/>
      <c r="E282" s="52"/>
      <c r="F282" s="52"/>
    </row>
    <row r="283">
      <c r="A283" s="48" t="s">
        <v>529</v>
      </c>
      <c r="B283" s="53"/>
      <c r="C283" s="53"/>
      <c r="D283" s="53"/>
      <c r="E283" s="53"/>
      <c r="F283" s="53"/>
    </row>
    <row r="284">
      <c r="A284" s="48" t="s">
        <v>530</v>
      </c>
      <c r="B284" s="52"/>
      <c r="C284" s="52"/>
      <c r="D284" s="52"/>
      <c r="E284" s="52"/>
      <c r="F284" s="52"/>
    </row>
    <row r="287">
      <c r="A287" s="45" t="s">
        <v>516</v>
      </c>
      <c r="B287" s="46" t="s">
        <v>556</v>
      </c>
    </row>
    <row r="288">
      <c r="A288" s="51" t="s">
        <v>518</v>
      </c>
      <c r="B288" s="51" t="s">
        <v>519</v>
      </c>
      <c r="C288" s="51" t="s">
        <v>520</v>
      </c>
      <c r="D288" s="51" t="s">
        <v>521</v>
      </c>
      <c r="E288" s="51" t="s">
        <v>522</v>
      </c>
      <c r="F288" s="51" t="s">
        <v>523</v>
      </c>
    </row>
    <row r="289">
      <c r="A289" s="48" t="s">
        <v>524</v>
      </c>
      <c r="B289" s="52"/>
      <c r="C289" s="52"/>
      <c r="D289" s="52"/>
      <c r="E289" s="52"/>
      <c r="F289" s="52"/>
    </row>
    <row r="290">
      <c r="A290" s="48" t="s">
        <v>525</v>
      </c>
      <c r="B290" s="53"/>
      <c r="C290" s="55" t="s">
        <v>665</v>
      </c>
      <c r="D290" s="53"/>
      <c r="E290" s="53"/>
      <c r="F290" s="53"/>
    </row>
    <row r="291">
      <c r="A291" s="48" t="s">
        <v>526</v>
      </c>
      <c r="B291" s="52"/>
      <c r="C291" s="52"/>
      <c r="D291" s="52"/>
      <c r="E291" s="52"/>
      <c r="F291" s="52"/>
    </row>
    <row r="292">
      <c r="A292" s="48" t="s">
        <v>527</v>
      </c>
      <c r="B292" s="53"/>
      <c r="C292" s="55" t="s">
        <v>666</v>
      </c>
      <c r="D292" s="53"/>
      <c r="E292" s="53"/>
      <c r="F292" s="53"/>
    </row>
    <row r="293">
      <c r="A293" s="48" t="s">
        <v>528</v>
      </c>
      <c r="B293" s="52"/>
      <c r="C293" s="52"/>
      <c r="D293" s="52"/>
      <c r="E293" s="52"/>
      <c r="F293" s="54" t="s">
        <v>665</v>
      </c>
    </row>
    <row r="294">
      <c r="A294" s="48" t="s">
        <v>529</v>
      </c>
      <c r="B294" s="53"/>
      <c r="C294" s="53"/>
      <c r="D294" s="53"/>
      <c r="E294" s="53"/>
      <c r="F294" s="53"/>
    </row>
    <row r="295">
      <c r="A295" s="48" t="s">
        <v>530</v>
      </c>
      <c r="B295" s="52"/>
      <c r="C295" s="52"/>
      <c r="D295" s="52"/>
      <c r="E295" s="54" t="s">
        <v>667</v>
      </c>
      <c r="F295" s="52"/>
    </row>
    <row r="298">
      <c r="A298" s="45" t="s">
        <v>516</v>
      </c>
      <c r="B298" s="46" t="s">
        <v>557</v>
      </c>
    </row>
    <row r="299">
      <c r="A299" s="51" t="s">
        <v>518</v>
      </c>
      <c r="B299" s="51" t="s">
        <v>519</v>
      </c>
      <c r="C299" s="51" t="s">
        <v>520</v>
      </c>
      <c r="D299" s="51" t="s">
        <v>521</v>
      </c>
      <c r="E299" s="51" t="s">
        <v>522</v>
      </c>
      <c r="F299" s="51" t="s">
        <v>523</v>
      </c>
    </row>
    <row r="300">
      <c r="A300" s="48" t="s">
        <v>524</v>
      </c>
      <c r="B300" s="52"/>
      <c r="C300" s="52"/>
      <c r="D300" s="52"/>
      <c r="E300" s="52"/>
      <c r="F300" s="52"/>
    </row>
    <row r="301">
      <c r="A301" s="48" t="s">
        <v>525</v>
      </c>
      <c r="B301" s="53"/>
      <c r="C301" s="55" t="s">
        <v>668</v>
      </c>
      <c r="D301" s="53"/>
      <c r="E301" s="53"/>
      <c r="F301" s="53"/>
    </row>
    <row r="302">
      <c r="A302" s="48" t="s">
        <v>526</v>
      </c>
      <c r="B302" s="52"/>
      <c r="C302" s="52"/>
      <c r="D302" s="54" t="s">
        <v>669</v>
      </c>
      <c r="E302" s="54" t="s">
        <v>668</v>
      </c>
      <c r="F302" s="52"/>
    </row>
    <row r="303">
      <c r="A303" s="48" t="s">
        <v>527</v>
      </c>
      <c r="B303" s="53"/>
      <c r="C303" s="53"/>
      <c r="D303" s="53"/>
      <c r="E303" s="53"/>
      <c r="F303" s="53"/>
    </row>
    <row r="304">
      <c r="A304" s="48" t="s">
        <v>528</v>
      </c>
      <c r="B304" s="52"/>
      <c r="C304" s="52"/>
      <c r="D304" s="52"/>
      <c r="E304" s="54" t="s">
        <v>670</v>
      </c>
      <c r="F304" s="52"/>
    </row>
    <row r="305">
      <c r="A305" s="48" t="s">
        <v>529</v>
      </c>
      <c r="B305" s="53"/>
      <c r="C305" s="55" t="s">
        <v>671</v>
      </c>
      <c r="D305" s="53"/>
      <c r="E305" s="53"/>
      <c r="F305" s="53"/>
    </row>
    <row r="306">
      <c r="A306" s="48" t="s">
        <v>530</v>
      </c>
      <c r="B306" s="52"/>
      <c r="C306" s="52"/>
      <c r="D306" s="52"/>
      <c r="E306" s="52"/>
      <c r="F306" s="52"/>
    </row>
    <row r="309">
      <c r="A309" s="45" t="s">
        <v>516</v>
      </c>
      <c r="B309" s="46" t="s">
        <v>558</v>
      </c>
    </row>
    <row r="310">
      <c r="A310" s="51" t="s">
        <v>518</v>
      </c>
      <c r="B310" s="51" t="s">
        <v>519</v>
      </c>
      <c r="C310" s="51" t="s">
        <v>520</v>
      </c>
      <c r="D310" s="51" t="s">
        <v>521</v>
      </c>
      <c r="E310" s="51" t="s">
        <v>522</v>
      </c>
      <c r="F310" s="51" t="s">
        <v>523</v>
      </c>
    </row>
    <row r="311">
      <c r="A311" s="48" t="s">
        <v>524</v>
      </c>
      <c r="B311" s="54" t="s">
        <v>672</v>
      </c>
      <c r="C311" s="52"/>
      <c r="D311" s="52"/>
      <c r="E311" s="52"/>
      <c r="F311" s="52"/>
    </row>
    <row r="312">
      <c r="A312" s="48" t="s">
        <v>525</v>
      </c>
      <c r="B312" s="53"/>
      <c r="C312" s="53"/>
      <c r="D312" s="53"/>
      <c r="E312" s="55" t="s">
        <v>673</v>
      </c>
      <c r="F312" s="53"/>
    </row>
    <row r="313">
      <c r="A313" s="48" t="s">
        <v>526</v>
      </c>
      <c r="B313" s="52"/>
      <c r="C313" s="52"/>
      <c r="D313" s="52"/>
      <c r="E313" s="52"/>
      <c r="F313" s="52"/>
    </row>
    <row r="314">
      <c r="A314" s="48" t="s">
        <v>527</v>
      </c>
      <c r="B314" s="53"/>
      <c r="C314" s="53"/>
      <c r="D314" s="53"/>
      <c r="E314" s="53"/>
      <c r="F314" s="53"/>
    </row>
    <row r="315">
      <c r="A315" s="48" t="s">
        <v>528</v>
      </c>
      <c r="B315" s="52"/>
      <c r="C315" s="52"/>
      <c r="D315" s="52"/>
      <c r="E315" s="54" t="s">
        <v>674</v>
      </c>
      <c r="F315" s="52"/>
    </row>
    <row r="316">
      <c r="A316" s="48" t="s">
        <v>529</v>
      </c>
      <c r="B316" s="53"/>
      <c r="C316" s="53"/>
      <c r="D316" s="53"/>
      <c r="E316" s="53"/>
      <c r="F316" s="55" t="s">
        <v>675</v>
      </c>
    </row>
    <row r="317">
      <c r="A317" s="48" t="s">
        <v>530</v>
      </c>
      <c r="B317" s="52"/>
      <c r="C317" s="52"/>
      <c r="D317" s="52"/>
      <c r="E317" s="52"/>
      <c r="F317" s="52"/>
    </row>
    <row r="320">
      <c r="A320" s="45" t="s">
        <v>516</v>
      </c>
      <c r="B320" s="46" t="s">
        <v>559</v>
      </c>
    </row>
    <row r="321">
      <c r="A321" s="51" t="s">
        <v>518</v>
      </c>
      <c r="B321" s="51" t="s">
        <v>519</v>
      </c>
      <c r="C321" s="51" t="s">
        <v>520</v>
      </c>
      <c r="D321" s="51" t="s">
        <v>521</v>
      </c>
      <c r="E321" s="51" t="s">
        <v>522</v>
      </c>
      <c r="F321" s="51" t="s">
        <v>523</v>
      </c>
    </row>
    <row r="322">
      <c r="A322" s="48" t="s">
        <v>524</v>
      </c>
      <c r="B322" s="52"/>
      <c r="C322" s="52"/>
      <c r="D322" s="52"/>
      <c r="E322" s="52"/>
      <c r="F322" s="52"/>
    </row>
    <row r="323">
      <c r="A323" s="48" t="s">
        <v>525</v>
      </c>
      <c r="B323" s="53"/>
      <c r="C323" s="53"/>
      <c r="D323" s="55" t="s">
        <v>676</v>
      </c>
      <c r="E323" s="53"/>
      <c r="F323" s="53"/>
    </row>
    <row r="324">
      <c r="A324" s="48" t="s">
        <v>526</v>
      </c>
      <c r="B324" s="54" t="s">
        <v>677</v>
      </c>
      <c r="C324" s="52"/>
      <c r="D324" s="52"/>
      <c r="E324" s="52"/>
      <c r="F324" s="52"/>
    </row>
    <row r="325">
      <c r="A325" s="48" t="s">
        <v>527</v>
      </c>
      <c r="B325" s="53"/>
      <c r="C325" s="53"/>
      <c r="D325" s="53"/>
      <c r="E325" s="53"/>
      <c r="F325" s="53"/>
    </row>
    <row r="326">
      <c r="A326" s="48" t="s">
        <v>528</v>
      </c>
      <c r="B326" s="52"/>
      <c r="C326" s="54" t="s">
        <v>678</v>
      </c>
      <c r="D326" s="54" t="s">
        <v>679</v>
      </c>
      <c r="E326" s="52"/>
      <c r="F326" s="52"/>
    </row>
    <row r="327">
      <c r="A327" s="48" t="s">
        <v>529</v>
      </c>
      <c r="B327" s="53"/>
      <c r="C327" s="55" t="s">
        <v>676</v>
      </c>
      <c r="D327" s="53"/>
      <c r="E327" s="53"/>
      <c r="F327" s="53"/>
    </row>
    <row r="328">
      <c r="A328" s="48" t="s">
        <v>530</v>
      </c>
      <c r="B328" s="52"/>
      <c r="C328" s="52"/>
      <c r="D328" s="52"/>
      <c r="E328" s="52"/>
      <c r="F328" s="52"/>
    </row>
    <row r="331">
      <c r="A331" s="45" t="s">
        <v>516</v>
      </c>
      <c r="B331" s="46" t="s">
        <v>560</v>
      </c>
    </row>
    <row r="332">
      <c r="A332" s="51" t="s">
        <v>518</v>
      </c>
      <c r="B332" s="51" t="s">
        <v>519</v>
      </c>
      <c r="C332" s="51" t="s">
        <v>520</v>
      </c>
      <c r="D332" s="51" t="s">
        <v>521</v>
      </c>
      <c r="E332" s="51" t="s">
        <v>522</v>
      </c>
      <c r="F332" s="51" t="s">
        <v>523</v>
      </c>
    </row>
    <row r="333">
      <c r="A333" s="48" t="s">
        <v>524</v>
      </c>
      <c r="B333" s="52"/>
      <c r="C333" s="52"/>
      <c r="D333" s="52"/>
      <c r="E333" s="52"/>
      <c r="F333" s="52"/>
    </row>
    <row r="334">
      <c r="A334" s="48" t="s">
        <v>525</v>
      </c>
      <c r="B334" s="53"/>
      <c r="C334" s="53"/>
      <c r="D334" s="53"/>
      <c r="E334" s="53"/>
      <c r="F334" s="53"/>
    </row>
    <row r="335">
      <c r="A335" s="48" t="s">
        <v>526</v>
      </c>
      <c r="B335" s="52"/>
      <c r="C335" s="52"/>
      <c r="D335" s="54" t="s">
        <v>680</v>
      </c>
      <c r="E335" s="52"/>
      <c r="F335" s="54" t="s">
        <v>681</v>
      </c>
    </row>
    <row r="336">
      <c r="A336" s="48" t="s">
        <v>527</v>
      </c>
      <c r="B336" s="53"/>
      <c r="C336" s="53"/>
      <c r="D336" s="53"/>
      <c r="E336" s="53"/>
      <c r="F336" s="53"/>
    </row>
    <row r="337">
      <c r="A337" s="48" t="s">
        <v>528</v>
      </c>
      <c r="B337" s="52"/>
      <c r="C337" s="54" t="s">
        <v>682</v>
      </c>
      <c r="D337" s="52"/>
      <c r="E337" s="52"/>
      <c r="F337" s="52"/>
    </row>
    <row r="338">
      <c r="A338" s="48" t="s">
        <v>529</v>
      </c>
      <c r="B338" s="53"/>
      <c r="C338" s="53"/>
      <c r="D338" s="53"/>
      <c r="E338" s="53"/>
      <c r="F338" s="53"/>
    </row>
    <row r="339">
      <c r="A339" s="48" t="s">
        <v>530</v>
      </c>
      <c r="B339" s="52"/>
      <c r="C339" s="52"/>
      <c r="D339" s="52"/>
      <c r="E339" s="52"/>
      <c r="F339" s="52"/>
    </row>
    <row r="342">
      <c r="A342" s="45" t="s">
        <v>516</v>
      </c>
      <c r="B342" s="46" t="s">
        <v>561</v>
      </c>
    </row>
    <row r="343">
      <c r="A343" s="51" t="s">
        <v>518</v>
      </c>
      <c r="B343" s="51" t="s">
        <v>519</v>
      </c>
      <c r="C343" s="51" t="s">
        <v>520</v>
      </c>
      <c r="D343" s="51" t="s">
        <v>521</v>
      </c>
      <c r="E343" s="51" t="s">
        <v>522</v>
      </c>
      <c r="F343" s="51" t="s">
        <v>523</v>
      </c>
    </row>
    <row r="344">
      <c r="A344" s="48" t="s">
        <v>524</v>
      </c>
      <c r="B344" s="52"/>
      <c r="C344" s="52"/>
      <c r="D344" s="52"/>
      <c r="E344" s="52"/>
      <c r="F344" s="54" t="s">
        <v>683</v>
      </c>
    </row>
    <row r="345">
      <c r="A345" s="48" t="s">
        <v>525</v>
      </c>
      <c r="B345" s="53"/>
      <c r="C345" s="53"/>
      <c r="D345" s="53"/>
      <c r="E345" s="53"/>
      <c r="F345" s="53"/>
    </row>
    <row r="346">
      <c r="A346" s="48" t="s">
        <v>526</v>
      </c>
      <c r="B346" s="52"/>
      <c r="C346" s="52"/>
      <c r="D346" s="52"/>
      <c r="E346" s="52"/>
      <c r="F346" s="52"/>
    </row>
    <row r="347">
      <c r="A347" s="48" t="s">
        <v>527</v>
      </c>
      <c r="B347" s="53"/>
      <c r="C347" s="55" t="s">
        <v>683</v>
      </c>
      <c r="D347" s="53"/>
      <c r="E347" s="53"/>
      <c r="F347" s="53"/>
    </row>
    <row r="348">
      <c r="A348" s="48" t="s">
        <v>528</v>
      </c>
      <c r="B348" s="52"/>
      <c r="C348" s="52"/>
      <c r="D348" s="52"/>
      <c r="E348" s="52"/>
      <c r="F348" s="52"/>
    </row>
    <row r="349">
      <c r="A349" s="48" t="s">
        <v>529</v>
      </c>
      <c r="B349" s="55" t="s">
        <v>684</v>
      </c>
      <c r="C349" s="53"/>
      <c r="D349" s="53"/>
      <c r="E349" s="53"/>
      <c r="F349" s="55" t="s">
        <v>685</v>
      </c>
    </row>
    <row r="350">
      <c r="A350" s="48" t="s">
        <v>530</v>
      </c>
      <c r="B350" s="52"/>
      <c r="C350" s="52"/>
      <c r="D350" s="52"/>
      <c r="E350" s="52"/>
      <c r="F350" s="52"/>
    </row>
    <row r="353">
      <c r="A353" s="45" t="s">
        <v>516</v>
      </c>
      <c r="B353" s="46" t="s">
        <v>562</v>
      </c>
    </row>
    <row r="354">
      <c r="A354" s="51" t="s">
        <v>518</v>
      </c>
      <c r="B354" s="51" t="s">
        <v>519</v>
      </c>
      <c r="C354" s="51" t="s">
        <v>520</v>
      </c>
      <c r="D354" s="51" t="s">
        <v>521</v>
      </c>
      <c r="E354" s="51" t="s">
        <v>522</v>
      </c>
      <c r="F354" s="51" t="s">
        <v>523</v>
      </c>
    </row>
    <row r="355">
      <c r="A355" s="48" t="s">
        <v>524</v>
      </c>
      <c r="B355" s="54" t="s">
        <v>686</v>
      </c>
      <c r="C355" s="54" t="s">
        <v>687</v>
      </c>
      <c r="D355" s="52"/>
      <c r="E355" s="54" t="s">
        <v>686</v>
      </c>
      <c r="F355" s="52"/>
    </row>
    <row r="356">
      <c r="A356" s="48" t="s">
        <v>525</v>
      </c>
      <c r="B356" s="55" t="s">
        <v>688</v>
      </c>
      <c r="C356" s="53"/>
      <c r="D356" s="53"/>
      <c r="E356" s="53"/>
      <c r="F356" s="53"/>
    </row>
    <row r="357">
      <c r="A357" s="48" t="s">
        <v>526</v>
      </c>
      <c r="B357" s="52"/>
      <c r="C357" s="54" t="s">
        <v>688</v>
      </c>
      <c r="D357" s="52"/>
      <c r="E357" s="52"/>
      <c r="F357" s="52"/>
    </row>
    <row r="358">
      <c r="A358" s="48" t="s">
        <v>527</v>
      </c>
      <c r="B358" s="53"/>
      <c r="C358" s="53"/>
      <c r="D358" s="53"/>
      <c r="E358" s="53"/>
      <c r="F358" s="53"/>
    </row>
    <row r="359">
      <c r="A359" s="48" t="s">
        <v>528</v>
      </c>
      <c r="B359" s="52"/>
      <c r="C359" s="52"/>
      <c r="D359" s="52"/>
      <c r="E359" s="52"/>
      <c r="F359" s="52"/>
    </row>
    <row r="360">
      <c r="A360" s="48" t="s">
        <v>529</v>
      </c>
      <c r="B360" s="53"/>
      <c r="C360" s="53"/>
      <c r="D360" s="53"/>
      <c r="E360" s="53"/>
      <c r="F360" s="53"/>
    </row>
    <row r="361">
      <c r="A361" s="48" t="s">
        <v>530</v>
      </c>
      <c r="B361" s="52"/>
      <c r="C361" s="52"/>
      <c r="D361" s="52"/>
      <c r="E361" s="52"/>
      <c r="F361" s="52"/>
    </row>
    <row r="364">
      <c r="A364" s="45" t="s">
        <v>516</v>
      </c>
      <c r="B364" s="46" t="s">
        <v>563</v>
      </c>
    </row>
    <row r="365">
      <c r="A365" s="51" t="s">
        <v>518</v>
      </c>
      <c r="B365" s="51" t="s">
        <v>519</v>
      </c>
      <c r="C365" s="51" t="s">
        <v>520</v>
      </c>
      <c r="D365" s="51" t="s">
        <v>521</v>
      </c>
      <c r="E365" s="51" t="s">
        <v>522</v>
      </c>
      <c r="F365" s="51" t="s">
        <v>523</v>
      </c>
    </row>
    <row r="366">
      <c r="A366" s="48" t="s">
        <v>524</v>
      </c>
      <c r="B366" s="52"/>
      <c r="C366" s="54" t="s">
        <v>689</v>
      </c>
      <c r="D366" s="52"/>
      <c r="E366" s="52"/>
      <c r="F366" s="52"/>
    </row>
    <row r="367">
      <c r="A367" s="48" t="s">
        <v>525</v>
      </c>
      <c r="B367" s="53"/>
      <c r="C367" s="53"/>
      <c r="D367" s="53"/>
      <c r="E367" s="53"/>
      <c r="F367" s="53"/>
    </row>
    <row r="368">
      <c r="A368" s="48" t="s">
        <v>526</v>
      </c>
      <c r="B368" s="52"/>
      <c r="C368" s="52"/>
      <c r="D368" s="52"/>
      <c r="E368" s="52"/>
      <c r="F368" s="52"/>
    </row>
    <row r="369">
      <c r="A369" s="48" t="s">
        <v>527</v>
      </c>
      <c r="B369" s="53"/>
      <c r="C369" s="53"/>
      <c r="D369" s="53"/>
      <c r="E369" s="53"/>
      <c r="F369" s="53"/>
    </row>
    <row r="370">
      <c r="A370" s="48" t="s">
        <v>528</v>
      </c>
      <c r="B370" s="52"/>
      <c r="C370" s="52"/>
      <c r="D370" s="52"/>
      <c r="E370" s="52"/>
      <c r="F370" s="52"/>
    </row>
    <row r="371">
      <c r="A371" s="48" t="s">
        <v>529</v>
      </c>
      <c r="B371" s="55" t="s">
        <v>690</v>
      </c>
      <c r="C371" s="55" t="s">
        <v>691</v>
      </c>
      <c r="D371" s="53"/>
      <c r="E371" s="55" t="s">
        <v>690</v>
      </c>
      <c r="F371" s="53"/>
    </row>
    <row r="372">
      <c r="A372" s="48" t="s">
        <v>530</v>
      </c>
      <c r="B372" s="52"/>
      <c r="C372" s="52"/>
      <c r="D372" s="52"/>
      <c r="E372" s="52"/>
      <c r="F372" s="52"/>
    </row>
    <row r="375">
      <c r="A375" s="45" t="s">
        <v>516</v>
      </c>
      <c r="B375" s="46" t="s">
        <v>564</v>
      </c>
    </row>
    <row r="376">
      <c r="A376" s="51" t="s">
        <v>518</v>
      </c>
      <c r="B376" s="51" t="s">
        <v>519</v>
      </c>
      <c r="C376" s="51" t="s">
        <v>520</v>
      </c>
      <c r="D376" s="51" t="s">
        <v>521</v>
      </c>
      <c r="E376" s="51" t="s">
        <v>522</v>
      </c>
      <c r="F376" s="51" t="s">
        <v>523</v>
      </c>
    </row>
    <row r="377">
      <c r="A377" s="48" t="s">
        <v>524</v>
      </c>
      <c r="B377" s="52"/>
      <c r="C377" s="52"/>
      <c r="D377" s="52"/>
      <c r="E377" s="52"/>
      <c r="F377" s="54" t="s">
        <v>692</v>
      </c>
    </row>
    <row r="378">
      <c r="A378" s="48" t="s">
        <v>525</v>
      </c>
      <c r="B378" s="53"/>
      <c r="C378" s="55" t="s">
        <v>693</v>
      </c>
      <c r="D378" s="53"/>
      <c r="E378" s="53"/>
      <c r="F378" s="53"/>
    </row>
    <row r="379">
      <c r="A379" s="48" t="s">
        <v>526</v>
      </c>
      <c r="B379" s="52"/>
      <c r="C379" s="52"/>
      <c r="D379" s="52"/>
      <c r="E379" s="52"/>
      <c r="F379" s="52"/>
    </row>
    <row r="380">
      <c r="A380" s="48" t="s">
        <v>527</v>
      </c>
      <c r="B380" s="53"/>
      <c r="C380" s="53"/>
      <c r="D380" s="55" t="s">
        <v>693</v>
      </c>
      <c r="E380" s="53"/>
      <c r="F380" s="53"/>
    </row>
    <row r="381">
      <c r="A381" s="48" t="s">
        <v>528</v>
      </c>
      <c r="B381" s="52"/>
      <c r="C381" s="52"/>
      <c r="D381" s="52"/>
      <c r="E381" s="52"/>
      <c r="F381" s="52"/>
    </row>
    <row r="382">
      <c r="A382" s="48" t="s">
        <v>529</v>
      </c>
      <c r="B382" s="53"/>
      <c r="C382" s="53"/>
      <c r="D382" s="53"/>
      <c r="E382" s="53"/>
      <c r="F382" s="53"/>
    </row>
    <row r="383">
      <c r="A383" s="48" t="s">
        <v>530</v>
      </c>
      <c r="B383" s="52"/>
      <c r="C383" s="52"/>
      <c r="D383" s="52"/>
      <c r="E383" s="52"/>
      <c r="F383" s="52"/>
    </row>
    <row r="386">
      <c r="A386" s="45" t="s">
        <v>516</v>
      </c>
      <c r="B386" s="46" t="s">
        <v>565</v>
      </c>
    </row>
    <row r="387">
      <c r="A387" s="51" t="s">
        <v>518</v>
      </c>
      <c r="B387" s="51" t="s">
        <v>519</v>
      </c>
      <c r="C387" s="51" t="s">
        <v>520</v>
      </c>
      <c r="D387" s="51" t="s">
        <v>521</v>
      </c>
      <c r="E387" s="51" t="s">
        <v>522</v>
      </c>
      <c r="F387" s="51" t="s">
        <v>523</v>
      </c>
    </row>
    <row r="388">
      <c r="A388" s="48" t="s">
        <v>524</v>
      </c>
      <c r="B388" s="52"/>
      <c r="C388" s="52"/>
      <c r="D388" s="52"/>
      <c r="E388" s="52"/>
      <c r="F388" s="52"/>
    </row>
    <row r="389">
      <c r="A389" s="48" t="s">
        <v>525</v>
      </c>
      <c r="B389" s="53"/>
      <c r="C389" s="53"/>
      <c r="D389" s="53"/>
      <c r="E389" s="53"/>
      <c r="F389" s="53"/>
    </row>
    <row r="390">
      <c r="A390" s="48" t="s">
        <v>526</v>
      </c>
      <c r="B390" s="52"/>
      <c r="C390" s="52"/>
      <c r="D390" s="52"/>
      <c r="E390" s="52"/>
      <c r="F390" s="52"/>
    </row>
    <row r="391">
      <c r="A391" s="48" t="s">
        <v>527</v>
      </c>
      <c r="B391" s="53"/>
      <c r="C391" s="53"/>
      <c r="D391" s="55" t="s">
        <v>694</v>
      </c>
      <c r="E391" s="53"/>
      <c r="F391" s="53"/>
    </row>
    <row r="392">
      <c r="A392" s="48" t="s">
        <v>528</v>
      </c>
      <c r="B392" s="52"/>
      <c r="C392" s="52"/>
      <c r="D392" s="52"/>
      <c r="E392" s="52"/>
      <c r="F392" s="54" t="s">
        <v>695</v>
      </c>
    </row>
    <row r="393">
      <c r="A393" s="48" t="s">
        <v>529</v>
      </c>
      <c r="B393" s="53"/>
      <c r="C393" s="53"/>
      <c r="D393" s="53"/>
      <c r="E393" s="53"/>
      <c r="F393" s="55" t="s">
        <v>696</v>
      </c>
    </row>
    <row r="394">
      <c r="A394" s="48" t="s">
        <v>530</v>
      </c>
      <c r="B394" s="52"/>
      <c r="C394" s="52"/>
      <c r="D394" s="52"/>
      <c r="E394" s="52"/>
      <c r="F394" s="52"/>
    </row>
    <row r="397">
      <c r="A397" s="45" t="s">
        <v>516</v>
      </c>
      <c r="B397" s="46" t="s">
        <v>566</v>
      </c>
    </row>
    <row r="398">
      <c r="A398" s="51" t="s">
        <v>518</v>
      </c>
      <c r="B398" s="51" t="s">
        <v>519</v>
      </c>
      <c r="C398" s="51" t="s">
        <v>520</v>
      </c>
      <c r="D398" s="51" t="s">
        <v>521</v>
      </c>
      <c r="E398" s="51" t="s">
        <v>522</v>
      </c>
      <c r="F398" s="51" t="s">
        <v>523</v>
      </c>
    </row>
    <row r="399">
      <c r="A399" s="48" t="s">
        <v>524</v>
      </c>
      <c r="B399" s="52"/>
      <c r="C399" s="52"/>
      <c r="D399" s="52"/>
      <c r="E399" s="52"/>
      <c r="F399" s="52"/>
    </row>
    <row r="400">
      <c r="A400" s="48" t="s">
        <v>525</v>
      </c>
      <c r="B400" s="53"/>
      <c r="C400" s="53"/>
      <c r="D400" s="53"/>
      <c r="E400" s="53"/>
      <c r="F400" s="53"/>
    </row>
    <row r="401">
      <c r="A401" s="48" t="s">
        <v>526</v>
      </c>
      <c r="B401" s="52"/>
      <c r="C401" s="52"/>
      <c r="D401" s="52"/>
      <c r="E401" s="52"/>
      <c r="F401" s="52"/>
    </row>
    <row r="402">
      <c r="A402" s="48" t="s">
        <v>527</v>
      </c>
      <c r="B402" s="53"/>
      <c r="C402" s="53"/>
      <c r="D402" s="53"/>
      <c r="E402" s="53"/>
      <c r="F402" s="53"/>
    </row>
    <row r="403">
      <c r="A403" s="48" t="s">
        <v>528</v>
      </c>
      <c r="B403" s="52"/>
      <c r="C403" s="54" t="s">
        <v>697</v>
      </c>
      <c r="D403" s="52"/>
      <c r="E403" s="54" t="s">
        <v>698</v>
      </c>
      <c r="F403" s="52"/>
    </row>
    <row r="404">
      <c r="A404" s="48" t="s">
        <v>529</v>
      </c>
      <c r="B404" s="53"/>
      <c r="C404" s="53"/>
      <c r="D404" s="53"/>
      <c r="E404" s="53"/>
      <c r="F404" s="53"/>
    </row>
    <row r="405">
      <c r="A405" s="48" t="s">
        <v>530</v>
      </c>
      <c r="B405" s="54" t="s">
        <v>699</v>
      </c>
      <c r="C405" s="52"/>
      <c r="D405" s="52"/>
      <c r="E405" s="52"/>
      <c r="F405" s="52"/>
    </row>
    <row r="408">
      <c r="A408" s="45" t="s">
        <v>516</v>
      </c>
      <c r="B408" s="46" t="s">
        <v>567</v>
      </c>
    </row>
    <row r="409">
      <c r="A409" s="51" t="s">
        <v>518</v>
      </c>
      <c r="B409" s="51" t="s">
        <v>519</v>
      </c>
      <c r="C409" s="51" t="s">
        <v>520</v>
      </c>
      <c r="D409" s="51" t="s">
        <v>521</v>
      </c>
      <c r="E409" s="51" t="s">
        <v>522</v>
      </c>
      <c r="F409" s="51" t="s">
        <v>523</v>
      </c>
    </row>
    <row r="410">
      <c r="A410" s="48" t="s">
        <v>524</v>
      </c>
      <c r="B410" s="52"/>
      <c r="C410" s="52"/>
      <c r="D410" s="52"/>
      <c r="E410" s="52"/>
      <c r="F410" s="54" t="s">
        <v>700</v>
      </c>
    </row>
    <row r="411">
      <c r="A411" s="48" t="s">
        <v>525</v>
      </c>
      <c r="B411" s="53"/>
      <c r="C411" s="55" t="s">
        <v>701</v>
      </c>
      <c r="D411" s="53"/>
      <c r="E411" s="55" t="s">
        <v>700</v>
      </c>
      <c r="F411" s="53"/>
    </row>
    <row r="412">
      <c r="A412" s="48" t="s">
        <v>526</v>
      </c>
      <c r="B412" s="52"/>
      <c r="C412" s="52"/>
      <c r="D412" s="52"/>
      <c r="E412" s="52"/>
      <c r="F412" s="52"/>
    </row>
    <row r="413">
      <c r="A413" s="48" t="s">
        <v>527</v>
      </c>
      <c r="B413" s="53"/>
      <c r="C413" s="53"/>
      <c r="D413" s="53"/>
      <c r="E413" s="53"/>
      <c r="F413" s="53"/>
    </row>
    <row r="414">
      <c r="A414" s="48" t="s">
        <v>528</v>
      </c>
      <c r="B414" s="52"/>
      <c r="C414" s="54" t="s">
        <v>702</v>
      </c>
      <c r="D414" s="52"/>
      <c r="E414" s="54" t="s">
        <v>701</v>
      </c>
      <c r="F414" s="52"/>
    </row>
    <row r="415">
      <c r="A415" s="48" t="s">
        <v>529</v>
      </c>
      <c r="B415" s="53"/>
      <c r="C415" s="53"/>
      <c r="D415" s="53"/>
      <c r="E415" s="53"/>
      <c r="F415" s="53"/>
    </row>
    <row r="416">
      <c r="A416" s="48" t="s">
        <v>530</v>
      </c>
      <c r="B416" s="52"/>
      <c r="C416" s="52"/>
      <c r="D416" s="52"/>
      <c r="E416" s="52"/>
      <c r="F416" s="52"/>
    </row>
    <row r="419">
      <c r="A419" s="45" t="s">
        <v>516</v>
      </c>
      <c r="B419" s="46" t="s">
        <v>568</v>
      </c>
    </row>
    <row r="420">
      <c r="A420" s="51" t="s">
        <v>518</v>
      </c>
      <c r="B420" s="51" t="s">
        <v>519</v>
      </c>
      <c r="C420" s="51" t="s">
        <v>520</v>
      </c>
      <c r="D420" s="51" t="s">
        <v>521</v>
      </c>
      <c r="E420" s="51" t="s">
        <v>522</v>
      </c>
      <c r="F420" s="51" t="s">
        <v>523</v>
      </c>
    </row>
    <row r="421">
      <c r="A421" s="48" t="s">
        <v>524</v>
      </c>
      <c r="B421" s="52"/>
      <c r="C421" s="52"/>
      <c r="D421" s="52"/>
      <c r="E421" s="52"/>
      <c r="F421" s="52"/>
    </row>
    <row r="422">
      <c r="A422" s="48" t="s">
        <v>525</v>
      </c>
      <c r="B422" s="53"/>
      <c r="C422" s="53"/>
      <c r="D422" s="55" t="s">
        <v>703</v>
      </c>
      <c r="E422" s="53"/>
      <c r="F422" s="53"/>
    </row>
    <row r="423">
      <c r="A423" s="48" t="s">
        <v>526</v>
      </c>
      <c r="B423" s="52"/>
      <c r="C423" s="54" t="s">
        <v>704</v>
      </c>
      <c r="D423" s="54" t="s">
        <v>704</v>
      </c>
      <c r="E423" s="54" t="s">
        <v>703</v>
      </c>
      <c r="F423" s="52"/>
    </row>
    <row r="424">
      <c r="A424" s="48" t="s">
        <v>527</v>
      </c>
      <c r="B424" s="53"/>
      <c r="C424" s="53"/>
      <c r="D424" s="53"/>
      <c r="E424" s="53"/>
      <c r="F424" s="53"/>
    </row>
    <row r="425">
      <c r="A425" s="48" t="s">
        <v>528</v>
      </c>
      <c r="B425" s="52"/>
      <c r="C425" s="52"/>
      <c r="D425" s="52"/>
      <c r="E425" s="52"/>
      <c r="F425" s="52"/>
    </row>
    <row r="426">
      <c r="A426" s="48" t="s">
        <v>529</v>
      </c>
      <c r="B426" s="53"/>
      <c r="C426" s="55" t="s">
        <v>705</v>
      </c>
      <c r="D426" s="53"/>
      <c r="E426" s="53"/>
      <c r="F426" s="53"/>
    </row>
    <row r="427">
      <c r="A427" s="48" t="s">
        <v>530</v>
      </c>
      <c r="B427" s="52"/>
      <c r="C427" s="52"/>
      <c r="D427" s="52"/>
      <c r="E427" s="52"/>
      <c r="F427" s="52"/>
    </row>
    <row r="430">
      <c r="A430" s="45" t="s">
        <v>516</v>
      </c>
      <c r="B430" s="46" t="s">
        <v>569</v>
      </c>
    </row>
    <row r="431">
      <c r="A431" s="51" t="s">
        <v>518</v>
      </c>
      <c r="B431" s="51" t="s">
        <v>519</v>
      </c>
      <c r="C431" s="51" t="s">
        <v>520</v>
      </c>
      <c r="D431" s="51" t="s">
        <v>521</v>
      </c>
      <c r="E431" s="51" t="s">
        <v>522</v>
      </c>
      <c r="F431" s="51" t="s">
        <v>523</v>
      </c>
    </row>
    <row r="432">
      <c r="A432" s="48" t="s">
        <v>524</v>
      </c>
      <c r="B432" s="52"/>
      <c r="C432" s="52"/>
      <c r="D432" s="52"/>
      <c r="E432" s="52"/>
      <c r="F432" s="52"/>
    </row>
    <row r="433">
      <c r="A433" s="48" t="s">
        <v>525</v>
      </c>
      <c r="B433" s="53"/>
      <c r="C433" s="53"/>
      <c r="D433" s="53"/>
      <c r="E433" s="53"/>
      <c r="F433" s="53"/>
    </row>
    <row r="434">
      <c r="A434" s="48" t="s">
        <v>526</v>
      </c>
      <c r="B434" s="52"/>
      <c r="C434" s="52"/>
      <c r="D434" s="52"/>
      <c r="E434" s="52"/>
      <c r="F434" s="52"/>
    </row>
    <row r="435">
      <c r="A435" s="48" t="s">
        <v>527</v>
      </c>
      <c r="B435" s="53"/>
      <c r="C435" s="55" t="s">
        <v>706</v>
      </c>
      <c r="D435" s="53"/>
      <c r="E435" s="53"/>
      <c r="F435" s="53"/>
    </row>
    <row r="436">
      <c r="A436" s="48" t="s">
        <v>528</v>
      </c>
      <c r="B436" s="52"/>
      <c r="C436" s="54" t="s">
        <v>707</v>
      </c>
      <c r="D436" s="52"/>
      <c r="E436" s="52"/>
      <c r="F436" s="52"/>
    </row>
    <row r="437">
      <c r="A437" s="48" t="s">
        <v>529</v>
      </c>
      <c r="B437" s="53"/>
      <c r="C437" s="53"/>
      <c r="D437" s="53"/>
      <c r="E437" s="55" t="s">
        <v>706</v>
      </c>
      <c r="F437" s="53"/>
    </row>
    <row r="438">
      <c r="A438" s="48" t="s">
        <v>530</v>
      </c>
      <c r="B438" s="54" t="s">
        <v>708</v>
      </c>
      <c r="C438" s="52"/>
      <c r="D438" s="52"/>
      <c r="E438" s="54" t="s">
        <v>708</v>
      </c>
      <c r="F438" s="52"/>
    </row>
    <row r="441">
      <c r="A441" s="45" t="s">
        <v>516</v>
      </c>
      <c r="B441" s="46" t="s">
        <v>570</v>
      </c>
    </row>
    <row r="442">
      <c r="A442" s="51" t="s">
        <v>518</v>
      </c>
      <c r="B442" s="51" t="s">
        <v>519</v>
      </c>
      <c r="C442" s="51" t="s">
        <v>520</v>
      </c>
      <c r="D442" s="51" t="s">
        <v>521</v>
      </c>
      <c r="E442" s="51" t="s">
        <v>522</v>
      </c>
      <c r="F442" s="51" t="s">
        <v>523</v>
      </c>
    </row>
    <row r="443">
      <c r="A443" s="48" t="s">
        <v>524</v>
      </c>
      <c r="B443" s="52"/>
      <c r="C443" s="52"/>
      <c r="D443" s="52"/>
      <c r="E443" s="52"/>
      <c r="F443" s="52"/>
    </row>
    <row r="444">
      <c r="A444" s="48" t="s">
        <v>525</v>
      </c>
      <c r="B444" s="53"/>
      <c r="C444" s="55" t="s">
        <v>709</v>
      </c>
      <c r="D444" s="53"/>
      <c r="E444" s="53"/>
      <c r="F444" s="53"/>
    </row>
    <row r="445">
      <c r="A445" s="48" t="s">
        <v>526</v>
      </c>
      <c r="B445" s="52"/>
      <c r="C445" s="52"/>
      <c r="D445" s="52"/>
      <c r="E445" s="52"/>
      <c r="F445" s="54" t="s">
        <v>709</v>
      </c>
    </row>
    <row r="446">
      <c r="A446" s="48" t="s">
        <v>527</v>
      </c>
      <c r="B446" s="55" t="s">
        <v>710</v>
      </c>
      <c r="C446" s="53"/>
      <c r="D446" s="53"/>
      <c r="E446" s="53"/>
      <c r="F446" s="55" t="s">
        <v>711</v>
      </c>
    </row>
    <row r="447">
      <c r="A447" s="48" t="s">
        <v>528</v>
      </c>
      <c r="B447" s="52"/>
      <c r="C447" s="54" t="s">
        <v>711</v>
      </c>
      <c r="D447" s="52"/>
      <c r="E447" s="52"/>
      <c r="F447" s="52"/>
    </row>
    <row r="448">
      <c r="A448" s="48" t="s">
        <v>529</v>
      </c>
      <c r="B448" s="53"/>
      <c r="C448" s="53"/>
      <c r="D448" s="53"/>
      <c r="E448" s="53"/>
      <c r="F448" s="53"/>
    </row>
    <row r="449">
      <c r="A449" s="48" t="s">
        <v>530</v>
      </c>
      <c r="B449" s="52"/>
      <c r="C449" s="52"/>
      <c r="D449" s="52"/>
      <c r="E449" s="52"/>
      <c r="F449" s="52"/>
    </row>
    <row r="452">
      <c r="A452" s="45" t="s">
        <v>516</v>
      </c>
      <c r="B452" s="46" t="s">
        <v>571</v>
      </c>
    </row>
    <row r="453">
      <c r="A453" s="51" t="s">
        <v>518</v>
      </c>
      <c r="B453" s="51" t="s">
        <v>519</v>
      </c>
      <c r="C453" s="51" t="s">
        <v>520</v>
      </c>
      <c r="D453" s="51" t="s">
        <v>521</v>
      </c>
      <c r="E453" s="51" t="s">
        <v>522</v>
      </c>
      <c r="F453" s="51" t="s">
        <v>523</v>
      </c>
    </row>
    <row r="454">
      <c r="A454" s="48" t="s">
        <v>524</v>
      </c>
      <c r="B454" s="52"/>
      <c r="C454" s="52"/>
      <c r="D454" s="52"/>
      <c r="E454" s="54" t="s">
        <v>712</v>
      </c>
      <c r="F454" s="52"/>
    </row>
    <row r="455">
      <c r="A455" s="48" t="s">
        <v>525</v>
      </c>
      <c r="B455" s="53"/>
      <c r="C455" s="53"/>
      <c r="D455" s="53"/>
      <c r="E455" s="53"/>
      <c r="F455" s="53"/>
    </row>
    <row r="456">
      <c r="A456" s="48" t="s">
        <v>526</v>
      </c>
      <c r="B456" s="52"/>
      <c r="C456" s="52"/>
      <c r="D456" s="52"/>
      <c r="E456" s="52"/>
      <c r="F456" s="54" t="s">
        <v>713</v>
      </c>
    </row>
    <row r="457">
      <c r="A457" s="48" t="s">
        <v>527</v>
      </c>
      <c r="B457" s="53"/>
      <c r="C457" s="53"/>
      <c r="D457" s="53"/>
      <c r="E457" s="53"/>
      <c r="F457" s="53"/>
    </row>
    <row r="458">
      <c r="A458" s="48" t="s">
        <v>528</v>
      </c>
      <c r="B458" s="54" t="s">
        <v>713</v>
      </c>
      <c r="C458" s="52"/>
      <c r="D458" s="52"/>
      <c r="E458" s="54" t="s">
        <v>714</v>
      </c>
      <c r="F458" s="52"/>
    </row>
    <row r="459">
      <c r="A459" s="48" t="s">
        <v>529</v>
      </c>
      <c r="B459" s="53"/>
      <c r="C459" s="53"/>
      <c r="D459" s="53"/>
      <c r="E459" s="53"/>
      <c r="F459" s="53"/>
    </row>
    <row r="460">
      <c r="A460" s="48" t="s">
        <v>530</v>
      </c>
      <c r="B460" s="52"/>
      <c r="C460" s="52"/>
      <c r="D460" s="52"/>
      <c r="E460" s="52"/>
      <c r="F460" s="52"/>
    </row>
    <row r="463">
      <c r="A463" s="45" t="s">
        <v>516</v>
      </c>
      <c r="B463" s="46" t="s">
        <v>572</v>
      </c>
    </row>
    <row r="464">
      <c r="A464" s="51" t="s">
        <v>518</v>
      </c>
      <c r="B464" s="51" t="s">
        <v>519</v>
      </c>
      <c r="C464" s="51" t="s">
        <v>520</v>
      </c>
      <c r="D464" s="51" t="s">
        <v>521</v>
      </c>
      <c r="E464" s="51" t="s">
        <v>522</v>
      </c>
      <c r="F464" s="51" t="s">
        <v>523</v>
      </c>
    </row>
    <row r="465">
      <c r="A465" s="48" t="s">
        <v>524</v>
      </c>
      <c r="B465" s="52"/>
      <c r="C465" s="52"/>
      <c r="D465" s="52"/>
      <c r="E465" s="52"/>
      <c r="F465" s="52"/>
    </row>
    <row r="466">
      <c r="A466" s="48" t="s">
        <v>525</v>
      </c>
      <c r="B466" s="53"/>
      <c r="C466" s="53"/>
      <c r="D466" s="53"/>
      <c r="E466" s="53"/>
      <c r="F466" s="55" t="s">
        <v>715</v>
      </c>
    </row>
    <row r="467">
      <c r="A467" s="48" t="s">
        <v>526</v>
      </c>
      <c r="B467" s="52"/>
      <c r="C467" s="52"/>
      <c r="D467" s="52"/>
      <c r="E467" s="52"/>
      <c r="F467" s="54" t="s">
        <v>716</v>
      </c>
    </row>
    <row r="468">
      <c r="A468" s="48" t="s">
        <v>527</v>
      </c>
      <c r="B468" s="53"/>
      <c r="C468" s="53"/>
      <c r="D468" s="53"/>
      <c r="E468" s="53"/>
      <c r="F468" s="53"/>
    </row>
    <row r="469">
      <c r="A469" s="48" t="s">
        <v>528</v>
      </c>
      <c r="B469" s="54" t="s">
        <v>716</v>
      </c>
      <c r="C469" s="54" t="s">
        <v>716</v>
      </c>
      <c r="D469" s="52"/>
      <c r="E469" s="52"/>
      <c r="F469" s="52"/>
    </row>
    <row r="470">
      <c r="A470" s="48" t="s">
        <v>529</v>
      </c>
      <c r="B470" s="53"/>
      <c r="C470" s="53"/>
      <c r="D470" s="53"/>
      <c r="E470" s="53"/>
      <c r="F470" s="53"/>
    </row>
    <row r="471">
      <c r="A471" s="48" t="s">
        <v>530</v>
      </c>
      <c r="B471" s="52"/>
      <c r="C471" s="52"/>
      <c r="D471" s="52"/>
      <c r="E471" s="52"/>
      <c r="F471" s="52"/>
    </row>
    <row r="474">
      <c r="A474" s="45" t="s">
        <v>516</v>
      </c>
      <c r="B474" s="46" t="s">
        <v>573</v>
      </c>
    </row>
    <row r="475">
      <c r="A475" s="51" t="s">
        <v>518</v>
      </c>
      <c r="B475" s="51" t="s">
        <v>519</v>
      </c>
      <c r="C475" s="51" t="s">
        <v>520</v>
      </c>
      <c r="D475" s="51" t="s">
        <v>521</v>
      </c>
      <c r="E475" s="51" t="s">
        <v>522</v>
      </c>
      <c r="F475" s="51" t="s">
        <v>523</v>
      </c>
    </row>
    <row r="476">
      <c r="A476" s="48" t="s">
        <v>524</v>
      </c>
      <c r="B476" s="54" t="s">
        <v>717</v>
      </c>
      <c r="C476" s="52"/>
      <c r="D476" s="52"/>
      <c r="E476" s="52"/>
      <c r="F476" s="52"/>
    </row>
    <row r="477">
      <c r="A477" s="48" t="s">
        <v>525</v>
      </c>
      <c r="B477" s="53"/>
      <c r="C477" s="53"/>
      <c r="D477" s="55" t="s">
        <v>718</v>
      </c>
      <c r="E477" s="53"/>
      <c r="F477" s="53"/>
    </row>
    <row r="478">
      <c r="A478" s="48" t="s">
        <v>526</v>
      </c>
      <c r="B478" s="52"/>
      <c r="C478" s="52"/>
      <c r="D478" s="54" t="s">
        <v>718</v>
      </c>
      <c r="E478" s="52"/>
      <c r="F478" s="52"/>
    </row>
    <row r="479">
      <c r="A479" s="48" t="s">
        <v>527</v>
      </c>
      <c r="B479" s="53"/>
      <c r="C479" s="53"/>
      <c r="D479" s="53"/>
      <c r="E479" s="53"/>
      <c r="F479" s="53"/>
    </row>
    <row r="480">
      <c r="A480" s="48" t="s">
        <v>528</v>
      </c>
      <c r="B480" s="52"/>
      <c r="C480" s="52"/>
      <c r="D480" s="52"/>
      <c r="E480" s="54" t="s">
        <v>718</v>
      </c>
      <c r="F480" s="52"/>
    </row>
    <row r="481">
      <c r="A481" s="48" t="s">
        <v>529</v>
      </c>
      <c r="B481" s="53"/>
      <c r="C481" s="53"/>
      <c r="D481" s="53"/>
      <c r="E481" s="53"/>
      <c r="F481" s="53"/>
    </row>
    <row r="482">
      <c r="A482" s="48" t="s">
        <v>530</v>
      </c>
      <c r="B482" s="52"/>
      <c r="C482" s="52"/>
      <c r="D482" s="52"/>
      <c r="E482" s="54" t="s">
        <v>719</v>
      </c>
      <c r="F482" s="52"/>
    </row>
    <row r="485">
      <c r="A485" s="45" t="s">
        <v>516</v>
      </c>
      <c r="B485" s="46" t="s">
        <v>574</v>
      </c>
    </row>
    <row r="486">
      <c r="A486" s="51" t="s">
        <v>518</v>
      </c>
      <c r="B486" s="51" t="s">
        <v>519</v>
      </c>
      <c r="C486" s="51" t="s">
        <v>520</v>
      </c>
      <c r="D486" s="51" t="s">
        <v>521</v>
      </c>
      <c r="E486" s="51" t="s">
        <v>522</v>
      </c>
      <c r="F486" s="51" t="s">
        <v>523</v>
      </c>
    </row>
    <row r="487">
      <c r="A487" s="48" t="s">
        <v>524</v>
      </c>
      <c r="B487" s="52"/>
      <c r="C487" s="52"/>
      <c r="D487" s="54" t="s">
        <v>720</v>
      </c>
      <c r="E487" s="52"/>
      <c r="F487" s="52"/>
    </row>
    <row r="488">
      <c r="A488" s="48" t="s">
        <v>525</v>
      </c>
      <c r="B488" s="53"/>
      <c r="C488" s="53"/>
      <c r="D488" s="53"/>
      <c r="E488" s="53"/>
      <c r="F488" s="53"/>
    </row>
    <row r="489">
      <c r="A489" s="48" t="s">
        <v>526</v>
      </c>
      <c r="B489" s="52"/>
      <c r="C489" s="52"/>
      <c r="D489" s="52"/>
      <c r="E489" s="52"/>
      <c r="F489" s="52"/>
    </row>
    <row r="490">
      <c r="A490" s="48" t="s">
        <v>527</v>
      </c>
      <c r="B490" s="53"/>
      <c r="C490" s="55" t="s">
        <v>721</v>
      </c>
      <c r="D490" s="53"/>
      <c r="E490" s="53"/>
      <c r="F490" s="53"/>
    </row>
    <row r="491">
      <c r="A491" s="48" t="s">
        <v>528</v>
      </c>
      <c r="B491" s="54" t="s">
        <v>722</v>
      </c>
      <c r="C491" s="52"/>
      <c r="D491" s="54" t="s">
        <v>723</v>
      </c>
      <c r="E491" s="52"/>
      <c r="F491" s="52"/>
    </row>
    <row r="492">
      <c r="A492" s="48" t="s">
        <v>529</v>
      </c>
      <c r="B492" s="55" t="s">
        <v>720</v>
      </c>
      <c r="C492" s="53"/>
      <c r="D492" s="53"/>
      <c r="E492" s="53"/>
      <c r="F492" s="53"/>
    </row>
    <row r="493">
      <c r="A493" s="48" t="s">
        <v>530</v>
      </c>
      <c r="B493" s="52"/>
      <c r="C493" s="52"/>
      <c r="D493" s="52"/>
      <c r="E493" s="52"/>
      <c r="F493" s="52"/>
    </row>
    <row r="496">
      <c r="A496" s="45" t="s">
        <v>516</v>
      </c>
      <c r="B496" s="46" t="s">
        <v>575</v>
      </c>
    </row>
    <row r="497">
      <c r="A497" s="51" t="s">
        <v>518</v>
      </c>
      <c r="B497" s="51" t="s">
        <v>519</v>
      </c>
      <c r="C497" s="51" t="s">
        <v>520</v>
      </c>
      <c r="D497" s="51" t="s">
        <v>521</v>
      </c>
      <c r="E497" s="51" t="s">
        <v>522</v>
      </c>
      <c r="F497" s="51" t="s">
        <v>523</v>
      </c>
    </row>
    <row r="498">
      <c r="A498" s="48" t="s">
        <v>524</v>
      </c>
      <c r="B498" s="52"/>
      <c r="C498" s="54" t="s">
        <v>724</v>
      </c>
      <c r="D498" s="52"/>
      <c r="E498" s="52"/>
      <c r="F498" s="52"/>
    </row>
    <row r="499">
      <c r="A499" s="48" t="s">
        <v>525</v>
      </c>
      <c r="B499" s="53"/>
      <c r="C499" s="55" t="s">
        <v>725</v>
      </c>
      <c r="D499" s="53"/>
      <c r="E499" s="55" t="s">
        <v>724</v>
      </c>
      <c r="F499" s="53"/>
    </row>
    <row r="500">
      <c r="A500" s="48" t="s">
        <v>526</v>
      </c>
      <c r="B500" s="52"/>
      <c r="C500" s="52"/>
      <c r="D500" s="52"/>
      <c r="E500" s="52"/>
      <c r="F500" s="52"/>
    </row>
    <row r="501">
      <c r="A501" s="48" t="s">
        <v>527</v>
      </c>
      <c r="B501" s="53"/>
      <c r="C501" s="53"/>
      <c r="D501" s="53"/>
      <c r="E501" s="53"/>
      <c r="F501" s="53"/>
    </row>
    <row r="502">
      <c r="A502" s="48" t="s">
        <v>528</v>
      </c>
      <c r="B502" s="54" t="s">
        <v>726</v>
      </c>
      <c r="C502" s="52"/>
      <c r="D502" s="52"/>
      <c r="E502" s="54" t="s">
        <v>727</v>
      </c>
      <c r="F502" s="52"/>
    </row>
    <row r="503">
      <c r="A503" s="48" t="s">
        <v>529</v>
      </c>
      <c r="B503" s="53"/>
      <c r="C503" s="53"/>
      <c r="D503" s="53"/>
      <c r="E503" s="53"/>
      <c r="F503" s="53"/>
    </row>
    <row r="504">
      <c r="A504" s="48" t="s">
        <v>530</v>
      </c>
      <c r="B504" s="52"/>
      <c r="C504" s="52"/>
      <c r="D504" s="52"/>
      <c r="E504" s="52"/>
      <c r="F504" s="52"/>
    </row>
    <row r="507">
      <c r="A507" s="45" t="s">
        <v>516</v>
      </c>
      <c r="B507" s="46" t="s">
        <v>576</v>
      </c>
    </row>
    <row r="508">
      <c r="A508" s="51" t="s">
        <v>518</v>
      </c>
      <c r="B508" s="51" t="s">
        <v>519</v>
      </c>
      <c r="C508" s="51" t="s">
        <v>520</v>
      </c>
      <c r="D508" s="51" t="s">
        <v>521</v>
      </c>
      <c r="E508" s="51" t="s">
        <v>522</v>
      </c>
      <c r="F508" s="51" t="s">
        <v>523</v>
      </c>
    </row>
    <row r="509">
      <c r="A509" s="48" t="s">
        <v>524</v>
      </c>
      <c r="B509" s="52"/>
      <c r="C509" s="52"/>
      <c r="D509" s="52"/>
      <c r="E509" s="52"/>
      <c r="F509" s="52"/>
    </row>
    <row r="510">
      <c r="A510" s="48" t="s">
        <v>525</v>
      </c>
      <c r="B510" s="55" t="s">
        <v>728</v>
      </c>
      <c r="C510" s="53"/>
      <c r="D510" s="55" t="s">
        <v>729</v>
      </c>
      <c r="E510" s="53"/>
      <c r="F510" s="53"/>
    </row>
    <row r="511">
      <c r="A511" s="48" t="s">
        <v>526</v>
      </c>
      <c r="B511" s="52"/>
      <c r="C511" s="54" t="s">
        <v>730</v>
      </c>
      <c r="D511" s="52"/>
      <c r="E511" s="52"/>
      <c r="F511" s="52"/>
    </row>
    <row r="512">
      <c r="A512" s="48" t="s">
        <v>527</v>
      </c>
      <c r="B512" s="53"/>
      <c r="C512" s="53"/>
      <c r="D512" s="53"/>
      <c r="E512" s="53"/>
      <c r="F512" s="53"/>
    </row>
    <row r="513">
      <c r="A513" s="48" t="s">
        <v>528</v>
      </c>
      <c r="B513" s="52"/>
      <c r="C513" s="52"/>
      <c r="D513" s="52"/>
      <c r="E513" s="52"/>
      <c r="F513" s="52"/>
    </row>
    <row r="514">
      <c r="A514" s="48" t="s">
        <v>529</v>
      </c>
      <c r="B514" s="53"/>
      <c r="C514" s="53"/>
      <c r="D514" s="53"/>
      <c r="E514" s="53"/>
      <c r="F514" s="53"/>
    </row>
    <row r="515">
      <c r="A515" s="48" t="s">
        <v>530</v>
      </c>
      <c r="B515" s="52"/>
      <c r="C515" s="52"/>
      <c r="D515" s="52"/>
      <c r="E515" s="52"/>
      <c r="F515" s="52"/>
    </row>
    <row r="518">
      <c r="A518" s="45" t="s">
        <v>516</v>
      </c>
      <c r="B518" s="46" t="s">
        <v>577</v>
      </c>
    </row>
    <row r="519">
      <c r="A519" s="51" t="s">
        <v>518</v>
      </c>
      <c r="B519" s="51" t="s">
        <v>519</v>
      </c>
      <c r="C519" s="51" t="s">
        <v>520</v>
      </c>
      <c r="D519" s="51" t="s">
        <v>521</v>
      </c>
      <c r="E519" s="51" t="s">
        <v>522</v>
      </c>
      <c r="F519" s="51" t="s">
        <v>523</v>
      </c>
    </row>
    <row r="520">
      <c r="A520" s="48" t="s">
        <v>524</v>
      </c>
      <c r="B520" s="52"/>
      <c r="C520" s="52"/>
      <c r="D520" s="52"/>
      <c r="E520" s="52"/>
      <c r="F520" s="52"/>
    </row>
    <row r="521">
      <c r="A521" s="48" t="s">
        <v>525</v>
      </c>
      <c r="B521" s="53"/>
      <c r="C521" s="55" t="s">
        <v>731</v>
      </c>
      <c r="D521" s="53"/>
      <c r="E521" s="53"/>
      <c r="F521" s="53"/>
    </row>
    <row r="522">
      <c r="A522" s="48" t="s">
        <v>526</v>
      </c>
      <c r="B522" s="52"/>
      <c r="C522" s="52"/>
      <c r="D522" s="52"/>
      <c r="E522" s="52"/>
      <c r="F522" s="52"/>
    </row>
    <row r="523">
      <c r="A523" s="48" t="s">
        <v>527</v>
      </c>
      <c r="B523" s="53"/>
      <c r="C523" s="53"/>
      <c r="D523" s="53"/>
      <c r="E523" s="53"/>
      <c r="F523" s="53"/>
    </row>
    <row r="524">
      <c r="A524" s="48" t="s">
        <v>528</v>
      </c>
      <c r="B524" s="52"/>
      <c r="C524" s="52"/>
      <c r="D524" s="52"/>
      <c r="E524" s="52"/>
      <c r="F524" s="52"/>
    </row>
    <row r="525">
      <c r="A525" s="48" t="s">
        <v>529</v>
      </c>
      <c r="B525" s="53"/>
      <c r="C525" s="53"/>
      <c r="D525" s="53"/>
      <c r="E525" s="53"/>
      <c r="F525" s="53"/>
    </row>
    <row r="526">
      <c r="A526" s="48" t="s">
        <v>530</v>
      </c>
      <c r="B526" s="52"/>
      <c r="C526" s="54" t="s">
        <v>732</v>
      </c>
      <c r="D526" s="52"/>
      <c r="E526" s="54" t="s">
        <v>733</v>
      </c>
      <c r="F526" s="52"/>
    </row>
    <row r="529">
      <c r="A529" s="45" t="s">
        <v>516</v>
      </c>
      <c r="B529" s="46" t="s">
        <v>578</v>
      </c>
    </row>
    <row r="530">
      <c r="A530" s="51" t="s">
        <v>518</v>
      </c>
      <c r="B530" s="51" t="s">
        <v>519</v>
      </c>
      <c r="C530" s="51" t="s">
        <v>520</v>
      </c>
      <c r="D530" s="51" t="s">
        <v>521</v>
      </c>
      <c r="E530" s="51" t="s">
        <v>522</v>
      </c>
      <c r="F530" s="51" t="s">
        <v>523</v>
      </c>
    </row>
    <row r="531">
      <c r="A531" s="48" t="s">
        <v>524</v>
      </c>
      <c r="B531" s="52"/>
      <c r="C531" s="52"/>
      <c r="D531" s="54" t="s">
        <v>734</v>
      </c>
      <c r="E531" s="52"/>
      <c r="F531" s="52"/>
    </row>
    <row r="532">
      <c r="A532" s="48" t="s">
        <v>525</v>
      </c>
      <c r="B532" s="53"/>
      <c r="C532" s="53"/>
      <c r="D532" s="53"/>
      <c r="E532" s="53"/>
      <c r="F532" s="55" t="s">
        <v>735</v>
      </c>
    </row>
    <row r="533">
      <c r="A533" s="48" t="s">
        <v>526</v>
      </c>
      <c r="B533" s="52"/>
      <c r="C533" s="52"/>
      <c r="D533" s="52"/>
      <c r="E533" s="52"/>
      <c r="F533" s="52"/>
    </row>
    <row r="534">
      <c r="A534" s="48" t="s">
        <v>527</v>
      </c>
      <c r="B534" s="53"/>
      <c r="C534" s="53"/>
      <c r="D534" s="53"/>
      <c r="E534" s="53"/>
      <c r="F534" s="53"/>
    </row>
    <row r="535">
      <c r="A535" s="48" t="s">
        <v>528</v>
      </c>
      <c r="B535" s="52"/>
      <c r="C535" s="52"/>
      <c r="D535" s="52"/>
      <c r="E535" s="52"/>
      <c r="F535" s="52"/>
    </row>
    <row r="536">
      <c r="A536" s="48" t="s">
        <v>529</v>
      </c>
      <c r="B536" s="53"/>
      <c r="C536" s="53"/>
      <c r="D536" s="53"/>
      <c r="E536" s="53"/>
      <c r="F536" s="55" t="s">
        <v>736</v>
      </c>
    </row>
    <row r="537">
      <c r="A537" s="48" t="s">
        <v>530</v>
      </c>
      <c r="B537" s="52"/>
      <c r="C537" s="54" t="s">
        <v>735</v>
      </c>
      <c r="D537" s="52"/>
      <c r="E537" s="52"/>
      <c r="F537" s="52"/>
    </row>
    <row r="540">
      <c r="A540" s="45" t="s">
        <v>516</v>
      </c>
      <c r="B540" s="46" t="s">
        <v>579</v>
      </c>
    </row>
    <row r="541">
      <c r="A541" s="51" t="s">
        <v>518</v>
      </c>
      <c r="B541" s="51" t="s">
        <v>519</v>
      </c>
      <c r="C541" s="51" t="s">
        <v>520</v>
      </c>
      <c r="D541" s="51" t="s">
        <v>521</v>
      </c>
      <c r="E541" s="51" t="s">
        <v>522</v>
      </c>
      <c r="F541" s="51" t="s">
        <v>523</v>
      </c>
    </row>
    <row r="542">
      <c r="A542" s="48" t="s">
        <v>524</v>
      </c>
      <c r="B542" s="52"/>
      <c r="C542" s="52"/>
      <c r="D542" s="52"/>
      <c r="E542" s="52"/>
      <c r="F542" s="52"/>
    </row>
    <row r="543">
      <c r="A543" s="48" t="s">
        <v>525</v>
      </c>
      <c r="B543" s="53"/>
      <c r="C543" s="53"/>
      <c r="D543" s="53"/>
      <c r="E543" s="53"/>
      <c r="F543" s="53"/>
    </row>
    <row r="544">
      <c r="A544" s="48" t="s">
        <v>526</v>
      </c>
      <c r="B544" s="52"/>
      <c r="C544" s="52"/>
      <c r="D544" s="54" t="s">
        <v>737</v>
      </c>
      <c r="E544" s="52"/>
      <c r="F544" s="54" t="s">
        <v>738</v>
      </c>
    </row>
    <row r="545">
      <c r="A545" s="48" t="s">
        <v>527</v>
      </c>
      <c r="B545" s="53"/>
      <c r="C545" s="53"/>
      <c r="D545" s="55" t="s">
        <v>738</v>
      </c>
      <c r="E545" s="53"/>
      <c r="F545" s="53"/>
    </row>
    <row r="546">
      <c r="A546" s="48" t="s">
        <v>528</v>
      </c>
      <c r="B546" s="52"/>
      <c r="C546" s="52"/>
      <c r="D546" s="52"/>
      <c r="E546" s="52"/>
      <c r="F546" s="52"/>
    </row>
    <row r="547">
      <c r="A547" s="48" t="s">
        <v>529</v>
      </c>
      <c r="B547" s="53"/>
      <c r="C547" s="53"/>
      <c r="D547" s="53"/>
      <c r="E547" s="53"/>
      <c r="F547" s="55" t="s">
        <v>739</v>
      </c>
    </row>
    <row r="548">
      <c r="A548" s="48" t="s">
        <v>530</v>
      </c>
      <c r="B548" s="52"/>
      <c r="C548" s="52"/>
      <c r="D548" s="52"/>
      <c r="E548" s="52"/>
      <c r="F548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8.25"/>
    <col customWidth="1" min="3" max="3" width="17.63"/>
    <col customWidth="1" min="4" max="4" width="12.0"/>
    <col customWidth="1" min="5" max="5" width="30.13"/>
    <col customWidth="1" min="6" max="6" width="11.38"/>
    <col customWidth="1" min="7" max="7" width="15.13"/>
    <col customWidth="1" min="8" max="8" width="17.63"/>
    <col customWidth="1" min="9" max="9" width="12.0"/>
    <col customWidth="1" min="10" max="10" width="30.13"/>
    <col customWidth="1" min="11" max="11" width="11.38"/>
    <col customWidth="1" min="12" max="12" width="15.13"/>
    <col customWidth="1" min="13" max="13" width="17.63"/>
    <col customWidth="1" min="14" max="14" width="12.0"/>
    <col customWidth="1" min="15" max="15" width="30.13"/>
    <col customWidth="1" min="16" max="16" width="11.38"/>
    <col customWidth="1" min="17" max="17" width="15.13"/>
    <col customWidth="1" min="18" max="18" width="17.63"/>
    <col customWidth="1" min="19" max="19" width="12.0"/>
    <col customWidth="1" min="20" max="20" width="30.13"/>
    <col customWidth="1" min="21" max="21" width="11.38"/>
    <col customWidth="1" min="22" max="22" width="15.13"/>
    <col customWidth="1" min="23" max="23" width="17.63"/>
    <col customWidth="1" min="24" max="24" width="12.0"/>
    <col customWidth="1" min="25" max="25" width="30.13"/>
    <col customWidth="1" min="26" max="26" width="11.38"/>
    <col customWidth="1" min="27" max="27" width="15.13"/>
    <col customWidth="1" min="28" max="28" width="17.63"/>
    <col customWidth="1" min="29" max="29" width="12.0"/>
    <col customWidth="1" min="30" max="30" width="30.13"/>
    <col customWidth="1" min="31" max="31" width="11.38"/>
    <col customWidth="1" min="32" max="32" width="15.13"/>
    <col customWidth="1" min="33" max="33" width="17.63"/>
    <col customWidth="1" min="34" max="34" width="12.0"/>
    <col customWidth="1" min="35" max="35" width="30.13"/>
    <col customWidth="1" min="36" max="36" width="11.38"/>
    <col customWidth="1" min="37" max="37" width="15.13"/>
    <col customWidth="1" min="38" max="38" width="17.63"/>
    <col customWidth="1" min="39" max="39" width="12.0"/>
    <col customWidth="1" min="40" max="40" width="30.13"/>
    <col customWidth="1" min="41" max="41" width="11.38"/>
    <col customWidth="1" min="42" max="42" width="15.13"/>
    <col customWidth="1" min="43" max="43" width="17.63"/>
    <col customWidth="1" min="44" max="44" width="12.0"/>
    <col customWidth="1" min="45" max="45" width="30.13"/>
    <col customWidth="1" min="46" max="46" width="11.38"/>
    <col customWidth="1" min="47" max="47" width="15.13"/>
    <col customWidth="1" min="48" max="48" width="17.63"/>
    <col customWidth="1" min="49" max="49" width="12.0"/>
    <col customWidth="1" min="50" max="50" width="30.13"/>
    <col customWidth="1" min="51" max="51" width="11.38"/>
    <col customWidth="1" min="52" max="52" width="15.13"/>
    <col customWidth="1" min="53" max="53" width="17.63"/>
    <col customWidth="1" min="54" max="54" width="12.0"/>
    <col customWidth="1" min="55" max="55" width="30.13"/>
    <col customWidth="1" min="56" max="56" width="11.38"/>
    <col customWidth="1" min="57" max="57" width="15.13"/>
    <col customWidth="1" min="58" max="58" width="17.63"/>
    <col customWidth="1" min="59" max="59" width="12.0"/>
    <col customWidth="1" min="60" max="60" width="30.13"/>
    <col customWidth="1" min="61" max="61" width="11.38"/>
    <col customWidth="1" min="62" max="62" width="15.13"/>
  </cols>
  <sheetData>
    <row r="1">
      <c r="A1" s="56" t="s">
        <v>740</v>
      </c>
      <c r="B1" s="56" t="s">
        <v>518</v>
      </c>
      <c r="C1" s="56" t="s">
        <v>741</v>
      </c>
      <c r="D1" s="56" t="s">
        <v>742</v>
      </c>
      <c r="E1" s="56" t="s">
        <v>743</v>
      </c>
      <c r="F1" s="56" t="s">
        <v>744</v>
      </c>
      <c r="G1" s="57" t="s">
        <v>745</v>
      </c>
      <c r="H1" s="58" t="s">
        <v>741</v>
      </c>
      <c r="I1" s="56" t="s">
        <v>742</v>
      </c>
      <c r="J1" s="56" t="s">
        <v>743</v>
      </c>
      <c r="K1" s="56" t="s">
        <v>744</v>
      </c>
      <c r="L1" s="57" t="s">
        <v>745</v>
      </c>
      <c r="M1" s="58" t="s">
        <v>741</v>
      </c>
      <c r="N1" s="56" t="s">
        <v>742</v>
      </c>
      <c r="O1" s="56" t="s">
        <v>743</v>
      </c>
      <c r="P1" s="56" t="s">
        <v>744</v>
      </c>
      <c r="Q1" s="57" t="s">
        <v>745</v>
      </c>
      <c r="R1" s="58" t="s">
        <v>741</v>
      </c>
      <c r="S1" s="56" t="s">
        <v>742</v>
      </c>
      <c r="T1" s="56" t="s">
        <v>743</v>
      </c>
      <c r="U1" s="56" t="s">
        <v>744</v>
      </c>
      <c r="V1" s="57" t="s">
        <v>745</v>
      </c>
      <c r="W1" s="58" t="s">
        <v>741</v>
      </c>
      <c r="X1" s="56" t="s">
        <v>742</v>
      </c>
      <c r="Y1" s="56" t="s">
        <v>743</v>
      </c>
      <c r="Z1" s="56" t="s">
        <v>744</v>
      </c>
      <c r="AA1" s="57" t="s">
        <v>745</v>
      </c>
      <c r="AB1" s="58" t="s">
        <v>741</v>
      </c>
      <c r="AC1" s="56" t="s">
        <v>742</v>
      </c>
      <c r="AD1" s="56" t="s">
        <v>743</v>
      </c>
      <c r="AE1" s="56" t="s">
        <v>744</v>
      </c>
      <c r="AF1" s="57" t="s">
        <v>745</v>
      </c>
      <c r="AG1" s="58" t="s">
        <v>741</v>
      </c>
      <c r="AH1" s="56" t="s">
        <v>742</v>
      </c>
      <c r="AI1" s="56" t="s">
        <v>743</v>
      </c>
      <c r="AJ1" s="56" t="s">
        <v>744</v>
      </c>
      <c r="AK1" s="57" t="s">
        <v>745</v>
      </c>
      <c r="AL1" s="58" t="s">
        <v>741</v>
      </c>
      <c r="AM1" s="56" t="s">
        <v>742</v>
      </c>
      <c r="AN1" s="56" t="s">
        <v>743</v>
      </c>
      <c r="AO1" s="56" t="s">
        <v>744</v>
      </c>
      <c r="AP1" s="57" t="s">
        <v>745</v>
      </c>
      <c r="AQ1" s="58" t="s">
        <v>741</v>
      </c>
      <c r="AR1" s="56" t="s">
        <v>742</v>
      </c>
      <c r="AS1" s="56" t="s">
        <v>743</v>
      </c>
      <c r="AT1" s="56" t="s">
        <v>744</v>
      </c>
      <c r="AU1" s="57" t="s">
        <v>745</v>
      </c>
      <c r="AV1" s="58" t="s">
        <v>741</v>
      </c>
      <c r="AW1" s="56" t="s">
        <v>742</v>
      </c>
      <c r="AX1" s="56" t="s">
        <v>743</v>
      </c>
      <c r="AY1" s="56" t="s">
        <v>744</v>
      </c>
      <c r="AZ1" s="57" t="s">
        <v>745</v>
      </c>
      <c r="BA1" s="58" t="s">
        <v>741</v>
      </c>
      <c r="BB1" s="56" t="s">
        <v>742</v>
      </c>
      <c r="BC1" s="56" t="s">
        <v>743</v>
      </c>
      <c r="BD1" s="56" t="s">
        <v>744</v>
      </c>
      <c r="BE1" s="57" t="s">
        <v>745</v>
      </c>
      <c r="BF1" s="58" t="s">
        <v>741</v>
      </c>
      <c r="BG1" s="56" t="s">
        <v>742</v>
      </c>
      <c r="BH1" s="56" t="s">
        <v>743</v>
      </c>
      <c r="BI1" s="56" t="s">
        <v>744</v>
      </c>
      <c r="BJ1" s="56" t="s">
        <v>745</v>
      </c>
    </row>
    <row r="2">
      <c r="A2" s="59" t="s">
        <v>746</v>
      </c>
      <c r="B2" s="59" t="s">
        <v>524</v>
      </c>
      <c r="C2" s="60" t="s">
        <v>747</v>
      </c>
      <c r="D2" s="60" t="s">
        <v>748</v>
      </c>
      <c r="E2" s="60" t="s">
        <v>558</v>
      </c>
      <c r="F2" s="61"/>
      <c r="G2" s="62"/>
      <c r="H2" s="63" t="s">
        <v>749</v>
      </c>
      <c r="I2" s="60" t="s">
        <v>750</v>
      </c>
      <c r="J2" s="61"/>
      <c r="K2" s="61"/>
      <c r="L2" s="62"/>
      <c r="M2" s="63" t="s">
        <v>751</v>
      </c>
      <c r="N2" s="60" t="s">
        <v>748</v>
      </c>
      <c r="O2" s="60" t="s">
        <v>539</v>
      </c>
      <c r="P2" s="61"/>
      <c r="Q2" s="62"/>
      <c r="R2" s="63" t="s">
        <v>752</v>
      </c>
      <c r="S2" s="60" t="s">
        <v>748</v>
      </c>
      <c r="T2" s="60" t="s">
        <v>562</v>
      </c>
      <c r="U2" s="61"/>
      <c r="V2" s="62"/>
      <c r="W2" s="63" t="s">
        <v>753</v>
      </c>
      <c r="X2" s="60" t="s">
        <v>748</v>
      </c>
      <c r="Y2" s="60" t="s">
        <v>573</v>
      </c>
      <c r="Z2" s="61"/>
      <c r="AA2" s="62"/>
      <c r="AB2" s="64"/>
      <c r="AC2" s="61"/>
      <c r="AD2" s="61"/>
      <c r="AE2" s="61"/>
      <c r="AF2" s="62"/>
      <c r="AG2" s="64"/>
      <c r="AH2" s="61"/>
      <c r="AI2" s="61"/>
      <c r="AJ2" s="61"/>
      <c r="AK2" s="62"/>
      <c r="AL2" s="64"/>
      <c r="AM2" s="61"/>
      <c r="AN2" s="61"/>
      <c r="AO2" s="61"/>
      <c r="AP2" s="62"/>
      <c r="AQ2" s="64"/>
      <c r="AR2" s="61"/>
      <c r="AS2" s="61"/>
      <c r="AT2" s="61"/>
      <c r="AU2" s="62"/>
      <c r="AV2" s="64"/>
      <c r="AW2" s="61"/>
      <c r="AX2" s="61"/>
      <c r="AY2" s="61"/>
      <c r="AZ2" s="62"/>
      <c r="BA2" s="64"/>
      <c r="BB2" s="61"/>
      <c r="BC2" s="61"/>
      <c r="BD2" s="61"/>
      <c r="BE2" s="62"/>
      <c r="BF2" s="64"/>
      <c r="BG2" s="61"/>
      <c r="BH2" s="61"/>
      <c r="BI2" s="61"/>
      <c r="BJ2" s="61"/>
    </row>
    <row r="3">
      <c r="A3" s="59" t="s">
        <v>746</v>
      </c>
      <c r="B3" s="59" t="s">
        <v>525</v>
      </c>
      <c r="C3" s="65" t="s">
        <v>754</v>
      </c>
      <c r="D3" s="65" t="s">
        <v>748</v>
      </c>
      <c r="E3" s="65" t="s">
        <v>534</v>
      </c>
      <c r="F3" s="66"/>
      <c r="G3" s="67"/>
      <c r="H3" s="68" t="s">
        <v>755</v>
      </c>
      <c r="I3" s="65" t="s">
        <v>748</v>
      </c>
      <c r="J3" s="65" t="s">
        <v>562</v>
      </c>
      <c r="K3" s="66"/>
      <c r="L3" s="67"/>
      <c r="M3" s="68" t="s">
        <v>756</v>
      </c>
      <c r="N3" s="65" t="s">
        <v>750</v>
      </c>
      <c r="O3" s="66"/>
      <c r="P3" s="66"/>
      <c r="Q3" s="67"/>
      <c r="R3" s="68" t="s">
        <v>757</v>
      </c>
      <c r="S3" s="65" t="s">
        <v>750</v>
      </c>
      <c r="T3" s="66"/>
      <c r="U3" s="66"/>
      <c r="V3" s="67"/>
      <c r="W3" s="68" t="s">
        <v>758</v>
      </c>
      <c r="X3" s="65" t="s">
        <v>759</v>
      </c>
      <c r="Y3" s="65" t="s">
        <v>548</v>
      </c>
      <c r="Z3" s="66"/>
      <c r="AA3" s="67"/>
      <c r="AB3" s="68" t="s">
        <v>760</v>
      </c>
      <c r="AC3" s="65" t="s">
        <v>748</v>
      </c>
      <c r="AD3" s="65" t="s">
        <v>576</v>
      </c>
      <c r="AE3" s="66"/>
      <c r="AF3" s="67"/>
      <c r="AG3" s="69"/>
      <c r="AH3" s="66"/>
      <c r="AI3" s="66"/>
      <c r="AJ3" s="66"/>
      <c r="AK3" s="67"/>
      <c r="AL3" s="69"/>
      <c r="AM3" s="66"/>
      <c r="AN3" s="66"/>
      <c r="AO3" s="66"/>
      <c r="AP3" s="67"/>
      <c r="AQ3" s="69"/>
      <c r="AR3" s="66"/>
      <c r="AS3" s="66"/>
      <c r="AT3" s="66"/>
      <c r="AU3" s="67"/>
      <c r="AV3" s="69"/>
      <c r="AW3" s="66"/>
      <c r="AX3" s="66"/>
      <c r="AY3" s="66"/>
      <c r="AZ3" s="67"/>
      <c r="BA3" s="69"/>
      <c r="BB3" s="66"/>
      <c r="BC3" s="66"/>
      <c r="BD3" s="66"/>
      <c r="BE3" s="67"/>
      <c r="BF3" s="69"/>
      <c r="BG3" s="66"/>
      <c r="BH3" s="66"/>
      <c r="BI3" s="66"/>
      <c r="BJ3" s="66"/>
    </row>
    <row r="4">
      <c r="A4" s="59" t="s">
        <v>746</v>
      </c>
      <c r="B4" s="59" t="s">
        <v>526</v>
      </c>
      <c r="C4" s="60" t="s">
        <v>761</v>
      </c>
      <c r="D4" s="60" t="s">
        <v>748</v>
      </c>
      <c r="E4" s="60" t="s">
        <v>535</v>
      </c>
      <c r="F4" s="61"/>
      <c r="G4" s="62"/>
      <c r="H4" s="63" t="s">
        <v>762</v>
      </c>
      <c r="I4" s="60" t="s">
        <v>759</v>
      </c>
      <c r="J4" s="60" t="s">
        <v>545</v>
      </c>
      <c r="K4" s="61"/>
      <c r="L4" s="62"/>
      <c r="M4" s="63" t="s">
        <v>763</v>
      </c>
      <c r="N4" s="60" t="s">
        <v>748</v>
      </c>
      <c r="O4" s="60" t="s">
        <v>547</v>
      </c>
      <c r="P4" s="61"/>
      <c r="Q4" s="62"/>
      <c r="R4" s="63" t="s">
        <v>764</v>
      </c>
      <c r="S4" s="60" t="s">
        <v>748</v>
      </c>
      <c r="T4" s="60" t="s">
        <v>552</v>
      </c>
      <c r="U4" s="61"/>
      <c r="V4" s="62"/>
      <c r="W4" s="63" t="s">
        <v>765</v>
      </c>
      <c r="X4" s="60" t="s">
        <v>759</v>
      </c>
      <c r="Y4" s="60" t="s">
        <v>559</v>
      </c>
      <c r="Z4" s="61"/>
      <c r="AA4" s="62"/>
      <c r="AB4" s="63" t="s">
        <v>766</v>
      </c>
      <c r="AC4" s="60" t="s">
        <v>750</v>
      </c>
      <c r="AD4" s="61"/>
      <c r="AE4" s="61"/>
      <c r="AF4" s="62"/>
      <c r="AG4" s="64"/>
      <c r="AH4" s="61"/>
      <c r="AI4" s="61"/>
      <c r="AJ4" s="61"/>
      <c r="AK4" s="62"/>
      <c r="AL4" s="64"/>
      <c r="AM4" s="61"/>
      <c r="AN4" s="61"/>
      <c r="AO4" s="61"/>
      <c r="AP4" s="62"/>
      <c r="AQ4" s="64"/>
      <c r="AR4" s="61"/>
      <c r="AS4" s="61"/>
      <c r="AT4" s="61"/>
      <c r="AU4" s="62"/>
      <c r="AV4" s="64"/>
      <c r="AW4" s="61"/>
      <c r="AX4" s="61"/>
      <c r="AY4" s="61"/>
      <c r="AZ4" s="62"/>
      <c r="BA4" s="64"/>
      <c r="BB4" s="61"/>
      <c r="BC4" s="61"/>
      <c r="BD4" s="61"/>
      <c r="BE4" s="62"/>
      <c r="BF4" s="64"/>
      <c r="BG4" s="61"/>
      <c r="BH4" s="61"/>
      <c r="BI4" s="61"/>
      <c r="BJ4" s="61"/>
    </row>
    <row r="5">
      <c r="A5" s="59" t="s">
        <v>746</v>
      </c>
      <c r="B5" s="59" t="s">
        <v>527</v>
      </c>
      <c r="C5" s="65" t="s">
        <v>767</v>
      </c>
      <c r="D5" s="65" t="s">
        <v>759</v>
      </c>
      <c r="E5" s="65" t="s">
        <v>539</v>
      </c>
      <c r="F5" s="66"/>
      <c r="G5" s="67"/>
      <c r="H5" s="68" t="s">
        <v>768</v>
      </c>
      <c r="I5" s="65" t="s">
        <v>759</v>
      </c>
      <c r="J5" s="65" t="s">
        <v>538</v>
      </c>
      <c r="K5" s="66"/>
      <c r="L5" s="67"/>
      <c r="M5" s="68" t="s">
        <v>769</v>
      </c>
      <c r="N5" s="65" t="s">
        <v>748</v>
      </c>
      <c r="O5" s="65" t="s">
        <v>548</v>
      </c>
      <c r="P5" s="66"/>
      <c r="Q5" s="67"/>
      <c r="R5" s="68" t="s">
        <v>770</v>
      </c>
      <c r="S5" s="65" t="s">
        <v>748</v>
      </c>
      <c r="T5" s="65" t="s">
        <v>555</v>
      </c>
      <c r="U5" s="66"/>
      <c r="V5" s="67"/>
      <c r="W5" s="68" t="s">
        <v>771</v>
      </c>
      <c r="X5" s="65" t="s">
        <v>748</v>
      </c>
      <c r="Y5" s="65" t="s">
        <v>570</v>
      </c>
      <c r="Z5" s="66"/>
      <c r="AA5" s="67"/>
      <c r="AB5" s="68" t="s">
        <v>772</v>
      </c>
      <c r="AC5" s="65" t="s">
        <v>759</v>
      </c>
      <c r="AD5" s="65" t="s">
        <v>550</v>
      </c>
      <c r="AE5" s="66"/>
      <c r="AF5" s="67"/>
      <c r="AG5" s="68" t="s">
        <v>773</v>
      </c>
      <c r="AH5" s="65" t="s">
        <v>750</v>
      </c>
      <c r="AI5" s="66"/>
      <c r="AJ5" s="66"/>
      <c r="AK5" s="67"/>
      <c r="AL5" s="69"/>
      <c r="AM5" s="66"/>
      <c r="AN5" s="66"/>
      <c r="AO5" s="66"/>
      <c r="AP5" s="67"/>
      <c r="AQ5" s="69"/>
      <c r="AR5" s="66"/>
      <c r="AS5" s="66"/>
      <c r="AT5" s="66"/>
      <c r="AU5" s="67"/>
      <c r="AV5" s="69"/>
      <c r="AW5" s="66"/>
      <c r="AX5" s="66"/>
      <c r="AY5" s="66"/>
      <c r="AZ5" s="67"/>
      <c r="BA5" s="69"/>
      <c r="BB5" s="66"/>
      <c r="BC5" s="66"/>
      <c r="BD5" s="66"/>
      <c r="BE5" s="67"/>
      <c r="BF5" s="69"/>
      <c r="BG5" s="66"/>
      <c r="BH5" s="66"/>
      <c r="BI5" s="66"/>
      <c r="BJ5" s="66"/>
    </row>
    <row r="6">
      <c r="A6" s="59" t="s">
        <v>746</v>
      </c>
      <c r="B6" s="59" t="s">
        <v>528</v>
      </c>
      <c r="C6" s="60" t="s">
        <v>767</v>
      </c>
      <c r="D6" s="60" t="s">
        <v>748</v>
      </c>
      <c r="E6" s="60" t="s">
        <v>533</v>
      </c>
      <c r="F6" s="61"/>
      <c r="G6" s="62"/>
      <c r="H6" s="63" t="s">
        <v>774</v>
      </c>
      <c r="I6" s="60" t="s">
        <v>748</v>
      </c>
      <c r="J6" s="60" t="s">
        <v>535</v>
      </c>
      <c r="K6" s="61"/>
      <c r="L6" s="62"/>
      <c r="M6" s="63" t="s">
        <v>775</v>
      </c>
      <c r="N6" s="60" t="s">
        <v>748</v>
      </c>
      <c r="O6" s="60" t="s">
        <v>542</v>
      </c>
      <c r="P6" s="61"/>
      <c r="Q6" s="62"/>
      <c r="R6" s="63" t="s">
        <v>776</v>
      </c>
      <c r="S6" s="60" t="s">
        <v>777</v>
      </c>
      <c r="T6" s="60" t="s">
        <v>545</v>
      </c>
      <c r="U6" s="61"/>
      <c r="V6" s="62"/>
      <c r="W6" s="63" t="s">
        <v>778</v>
      </c>
      <c r="X6" s="60" t="s">
        <v>777</v>
      </c>
      <c r="Y6" s="60" t="s">
        <v>547</v>
      </c>
      <c r="Z6" s="61"/>
      <c r="AA6" s="62"/>
      <c r="AB6" s="63" t="s">
        <v>779</v>
      </c>
      <c r="AC6" s="60" t="s">
        <v>777</v>
      </c>
      <c r="AD6" s="60" t="s">
        <v>550</v>
      </c>
      <c r="AE6" s="61"/>
      <c r="AF6" s="62"/>
      <c r="AG6" s="63" t="s">
        <v>780</v>
      </c>
      <c r="AH6" s="60" t="s">
        <v>777</v>
      </c>
      <c r="AI6" s="60" t="s">
        <v>554</v>
      </c>
      <c r="AJ6" s="61"/>
      <c r="AK6" s="62"/>
      <c r="AL6" s="63" t="s">
        <v>781</v>
      </c>
      <c r="AM6" s="60" t="s">
        <v>777</v>
      </c>
      <c r="AN6" s="60" t="s">
        <v>571</v>
      </c>
      <c r="AO6" s="61"/>
      <c r="AP6" s="62"/>
      <c r="AQ6" s="63" t="s">
        <v>782</v>
      </c>
      <c r="AR6" s="60" t="s">
        <v>748</v>
      </c>
      <c r="AS6" s="60" t="s">
        <v>572</v>
      </c>
      <c r="AT6" s="61"/>
      <c r="AU6" s="62"/>
      <c r="AV6" s="63" t="s">
        <v>783</v>
      </c>
      <c r="AW6" s="60" t="s">
        <v>759</v>
      </c>
      <c r="AX6" s="60" t="s">
        <v>575</v>
      </c>
      <c r="AY6" s="61"/>
      <c r="AZ6" s="62"/>
      <c r="BA6" s="63" t="s">
        <v>784</v>
      </c>
      <c r="BB6" s="60" t="s">
        <v>748</v>
      </c>
      <c r="BC6" s="60" t="s">
        <v>534</v>
      </c>
      <c r="BD6" s="61"/>
      <c r="BE6" s="62"/>
      <c r="BF6" s="63" t="s">
        <v>785</v>
      </c>
      <c r="BG6" s="60" t="s">
        <v>777</v>
      </c>
      <c r="BH6" s="60" t="s">
        <v>574</v>
      </c>
      <c r="BI6" s="61"/>
      <c r="BJ6" s="61"/>
    </row>
    <row r="7">
      <c r="A7" s="59" t="s">
        <v>746</v>
      </c>
      <c r="B7" s="59" t="s">
        <v>529</v>
      </c>
      <c r="C7" s="65" t="s">
        <v>786</v>
      </c>
      <c r="D7" s="65" t="s">
        <v>748</v>
      </c>
      <c r="E7" s="65" t="s">
        <v>549</v>
      </c>
      <c r="F7" s="66"/>
      <c r="G7" s="67"/>
      <c r="H7" s="68" t="s">
        <v>787</v>
      </c>
      <c r="I7" s="65" t="s">
        <v>759</v>
      </c>
      <c r="J7" s="65" t="s">
        <v>574</v>
      </c>
      <c r="K7" s="66"/>
      <c r="L7" s="67"/>
      <c r="M7" s="68" t="s">
        <v>788</v>
      </c>
      <c r="N7" s="65" t="s">
        <v>748</v>
      </c>
      <c r="O7" s="65" t="s">
        <v>533</v>
      </c>
      <c r="P7" s="66"/>
      <c r="Q7" s="67"/>
      <c r="R7" s="68" t="s">
        <v>789</v>
      </c>
      <c r="S7" s="65" t="s">
        <v>748</v>
      </c>
      <c r="T7" s="65" t="s">
        <v>538</v>
      </c>
      <c r="U7" s="66"/>
      <c r="V7" s="67"/>
      <c r="W7" s="68" t="s">
        <v>790</v>
      </c>
      <c r="X7" s="65" t="s">
        <v>748</v>
      </c>
      <c r="Y7" s="65" t="s">
        <v>544</v>
      </c>
      <c r="Z7" s="66"/>
      <c r="AA7" s="67"/>
      <c r="AB7" s="68" t="s">
        <v>791</v>
      </c>
      <c r="AC7" s="65" t="s">
        <v>748</v>
      </c>
      <c r="AD7" s="65" t="s">
        <v>554</v>
      </c>
      <c r="AE7" s="66"/>
      <c r="AF7" s="67"/>
      <c r="AG7" s="68" t="s">
        <v>792</v>
      </c>
      <c r="AH7" s="65" t="s">
        <v>777</v>
      </c>
      <c r="AI7" s="65" t="s">
        <v>561</v>
      </c>
      <c r="AJ7" s="66"/>
      <c r="AK7" s="67"/>
      <c r="AL7" s="68" t="s">
        <v>793</v>
      </c>
      <c r="AM7" s="65" t="s">
        <v>748</v>
      </c>
      <c r="AN7" s="65" t="s">
        <v>563</v>
      </c>
      <c r="AO7" s="66"/>
      <c r="AP7" s="67"/>
      <c r="AQ7" s="69"/>
      <c r="AR7" s="66"/>
      <c r="AS7" s="66"/>
      <c r="AT7" s="66"/>
      <c r="AU7" s="67"/>
      <c r="AV7" s="69"/>
      <c r="AW7" s="66"/>
      <c r="AX7" s="66"/>
      <c r="AY7" s="66"/>
      <c r="AZ7" s="67"/>
      <c r="BA7" s="69"/>
      <c r="BB7" s="66"/>
      <c r="BC7" s="66"/>
      <c r="BD7" s="66"/>
      <c r="BE7" s="67"/>
      <c r="BF7" s="69"/>
      <c r="BG7" s="66"/>
      <c r="BH7" s="66"/>
      <c r="BI7" s="66"/>
      <c r="BJ7" s="66"/>
    </row>
    <row r="8">
      <c r="A8" s="59" t="s">
        <v>746</v>
      </c>
      <c r="B8" s="59" t="s">
        <v>530</v>
      </c>
      <c r="C8" s="60" t="s">
        <v>794</v>
      </c>
      <c r="D8" s="60" t="s">
        <v>777</v>
      </c>
      <c r="E8" s="60" t="s">
        <v>531</v>
      </c>
      <c r="F8" s="61"/>
      <c r="G8" s="62"/>
      <c r="H8" s="63" t="s">
        <v>795</v>
      </c>
      <c r="I8" s="60" t="s">
        <v>748</v>
      </c>
      <c r="J8" s="60" t="s">
        <v>543</v>
      </c>
      <c r="K8" s="61"/>
      <c r="L8" s="62"/>
      <c r="M8" s="63" t="s">
        <v>796</v>
      </c>
      <c r="N8" s="60" t="s">
        <v>748</v>
      </c>
      <c r="O8" s="60" t="s">
        <v>544</v>
      </c>
      <c r="P8" s="61"/>
      <c r="Q8" s="62"/>
      <c r="R8" s="63" t="s">
        <v>797</v>
      </c>
      <c r="S8" s="60" t="s">
        <v>748</v>
      </c>
      <c r="T8" s="60" t="s">
        <v>566</v>
      </c>
      <c r="U8" s="61"/>
      <c r="V8" s="62"/>
      <c r="W8" s="63" t="s">
        <v>798</v>
      </c>
      <c r="X8" s="60" t="s">
        <v>748</v>
      </c>
      <c r="Y8" s="60" t="s">
        <v>569</v>
      </c>
      <c r="Z8" s="61"/>
      <c r="AA8" s="62"/>
      <c r="AB8" s="63" t="s">
        <v>799</v>
      </c>
      <c r="AC8" s="60" t="s">
        <v>750</v>
      </c>
      <c r="AD8" s="61"/>
      <c r="AE8" s="61"/>
      <c r="AF8" s="62"/>
      <c r="AG8" s="64"/>
      <c r="AH8" s="61"/>
      <c r="AI8" s="61"/>
      <c r="AJ8" s="61"/>
      <c r="AK8" s="62"/>
      <c r="AL8" s="64"/>
      <c r="AM8" s="61"/>
      <c r="AN8" s="61"/>
      <c r="AO8" s="61"/>
      <c r="AP8" s="62"/>
      <c r="AQ8" s="64"/>
      <c r="AR8" s="61"/>
      <c r="AS8" s="61"/>
      <c r="AT8" s="61"/>
      <c r="AU8" s="62"/>
      <c r="AV8" s="64"/>
      <c r="AW8" s="61"/>
      <c r="AX8" s="61"/>
      <c r="AY8" s="61"/>
      <c r="AZ8" s="62"/>
      <c r="BA8" s="64"/>
      <c r="BB8" s="61"/>
      <c r="BC8" s="61"/>
      <c r="BD8" s="61"/>
      <c r="BE8" s="62"/>
      <c r="BF8" s="64"/>
      <c r="BG8" s="61"/>
      <c r="BH8" s="61"/>
      <c r="BI8" s="61"/>
      <c r="BJ8" s="61"/>
    </row>
    <row r="9">
      <c r="A9" s="59" t="s">
        <v>800</v>
      </c>
      <c r="B9" s="59" t="s">
        <v>524</v>
      </c>
      <c r="C9" s="65" t="s">
        <v>801</v>
      </c>
      <c r="D9" s="65" t="s">
        <v>759</v>
      </c>
      <c r="E9" s="65" t="s">
        <v>537</v>
      </c>
      <c r="F9" s="66"/>
      <c r="G9" s="67"/>
      <c r="H9" s="68" t="s">
        <v>769</v>
      </c>
      <c r="I9" s="65" t="s">
        <v>748</v>
      </c>
      <c r="J9" s="65" t="s">
        <v>548</v>
      </c>
      <c r="K9" s="66"/>
      <c r="L9" s="67"/>
      <c r="M9" s="68" t="s">
        <v>783</v>
      </c>
      <c r="N9" s="65" t="s">
        <v>748</v>
      </c>
      <c r="O9" s="65" t="s">
        <v>575</v>
      </c>
      <c r="P9" s="66"/>
      <c r="Q9" s="67"/>
      <c r="R9" s="68" t="s">
        <v>752</v>
      </c>
      <c r="S9" s="65" t="s">
        <v>759</v>
      </c>
      <c r="T9" s="65" t="s">
        <v>562</v>
      </c>
      <c r="U9" s="66"/>
      <c r="V9" s="67"/>
      <c r="W9" s="68" t="s">
        <v>793</v>
      </c>
      <c r="X9" s="65" t="s">
        <v>759</v>
      </c>
      <c r="Y9" s="65" t="s">
        <v>563</v>
      </c>
      <c r="Z9" s="66"/>
      <c r="AA9" s="67"/>
      <c r="AB9" s="69"/>
      <c r="AC9" s="66"/>
      <c r="AD9" s="66"/>
      <c r="AE9" s="66"/>
      <c r="AF9" s="67"/>
      <c r="AG9" s="69"/>
      <c r="AH9" s="66"/>
      <c r="AI9" s="66"/>
      <c r="AJ9" s="66"/>
      <c r="AK9" s="67"/>
      <c r="AL9" s="69"/>
      <c r="AM9" s="66"/>
      <c r="AN9" s="66"/>
      <c r="AO9" s="66"/>
      <c r="AP9" s="67"/>
      <c r="AQ9" s="69"/>
      <c r="AR9" s="66"/>
      <c r="AS9" s="66"/>
      <c r="AT9" s="66"/>
      <c r="AU9" s="67"/>
      <c r="AV9" s="69"/>
      <c r="AW9" s="66"/>
      <c r="AX9" s="66"/>
      <c r="AY9" s="66"/>
      <c r="AZ9" s="67"/>
      <c r="BA9" s="69"/>
      <c r="BB9" s="66"/>
      <c r="BC9" s="66"/>
      <c r="BD9" s="66"/>
      <c r="BE9" s="67"/>
      <c r="BF9" s="69"/>
      <c r="BG9" s="66"/>
      <c r="BH9" s="66"/>
      <c r="BI9" s="66"/>
      <c r="BJ9" s="66"/>
    </row>
    <row r="10">
      <c r="A10" s="59" t="s">
        <v>800</v>
      </c>
      <c r="B10" s="59" t="s">
        <v>525</v>
      </c>
      <c r="C10" s="60" t="s">
        <v>802</v>
      </c>
      <c r="D10" s="60" t="s">
        <v>748</v>
      </c>
      <c r="E10" s="60" t="s">
        <v>556</v>
      </c>
      <c r="F10" s="61"/>
      <c r="G10" s="62"/>
      <c r="H10" s="63" t="s">
        <v>803</v>
      </c>
      <c r="I10" s="60" t="s">
        <v>748</v>
      </c>
      <c r="J10" s="60" t="s">
        <v>557</v>
      </c>
      <c r="K10" s="61"/>
      <c r="L10" s="62"/>
      <c r="M10" s="63" t="s">
        <v>804</v>
      </c>
      <c r="N10" s="60" t="s">
        <v>759</v>
      </c>
      <c r="O10" s="60" t="s">
        <v>577</v>
      </c>
      <c r="P10" s="61"/>
      <c r="Q10" s="62"/>
      <c r="R10" s="63" t="s">
        <v>805</v>
      </c>
      <c r="S10" s="60" t="s">
        <v>748</v>
      </c>
      <c r="T10" s="60" t="s">
        <v>532</v>
      </c>
      <c r="U10" s="61"/>
      <c r="V10" s="62"/>
      <c r="W10" s="63" t="s">
        <v>806</v>
      </c>
      <c r="X10" s="60" t="s">
        <v>759</v>
      </c>
      <c r="Y10" s="60" t="s">
        <v>541</v>
      </c>
      <c r="Z10" s="61"/>
      <c r="AA10" s="62"/>
      <c r="AB10" s="63" t="s">
        <v>807</v>
      </c>
      <c r="AC10" s="60" t="s">
        <v>777</v>
      </c>
      <c r="AD10" s="60" t="s">
        <v>543</v>
      </c>
      <c r="AE10" s="61"/>
      <c r="AF10" s="62"/>
      <c r="AG10" s="63" t="s">
        <v>808</v>
      </c>
      <c r="AH10" s="60" t="s">
        <v>759</v>
      </c>
      <c r="AI10" s="60" t="s">
        <v>564</v>
      </c>
      <c r="AJ10" s="61"/>
      <c r="AK10" s="62"/>
      <c r="AL10" s="63" t="s">
        <v>809</v>
      </c>
      <c r="AM10" s="60" t="s">
        <v>748</v>
      </c>
      <c r="AN10" s="60" t="s">
        <v>567</v>
      </c>
      <c r="AO10" s="61"/>
      <c r="AP10" s="62"/>
      <c r="AQ10" s="63" t="s">
        <v>810</v>
      </c>
      <c r="AR10" s="60" t="s">
        <v>759</v>
      </c>
      <c r="AS10" s="60" t="s">
        <v>570</v>
      </c>
      <c r="AT10" s="61"/>
      <c r="AU10" s="62"/>
      <c r="AV10" s="63" t="s">
        <v>811</v>
      </c>
      <c r="AW10" s="60" t="s">
        <v>748</v>
      </c>
      <c r="AX10" s="60" t="s">
        <v>575</v>
      </c>
      <c r="AY10" s="61"/>
      <c r="AZ10" s="62"/>
      <c r="BA10" s="64"/>
      <c r="BB10" s="61"/>
      <c r="BC10" s="61"/>
      <c r="BD10" s="61"/>
      <c r="BE10" s="62"/>
      <c r="BF10" s="64"/>
      <c r="BG10" s="61"/>
      <c r="BH10" s="61"/>
      <c r="BI10" s="61"/>
      <c r="BJ10" s="61"/>
    </row>
    <row r="11">
      <c r="A11" s="59" t="s">
        <v>800</v>
      </c>
      <c r="B11" s="59" t="s">
        <v>526</v>
      </c>
      <c r="C11" s="65" t="s">
        <v>812</v>
      </c>
      <c r="D11" s="65" t="s">
        <v>748</v>
      </c>
      <c r="E11" s="65" t="s">
        <v>536</v>
      </c>
      <c r="F11" s="66"/>
      <c r="G11" s="67"/>
      <c r="H11" s="68" t="s">
        <v>778</v>
      </c>
      <c r="I11" s="65" t="s">
        <v>748</v>
      </c>
      <c r="J11" s="65" t="s">
        <v>547</v>
      </c>
      <c r="K11" s="66"/>
      <c r="L11" s="67"/>
      <c r="M11" s="68" t="s">
        <v>755</v>
      </c>
      <c r="N11" s="65" t="s">
        <v>748</v>
      </c>
      <c r="O11" s="65" t="s">
        <v>562</v>
      </c>
      <c r="P11" s="66"/>
      <c r="Q11" s="67"/>
      <c r="R11" s="68" t="s">
        <v>749</v>
      </c>
      <c r="S11" s="65" t="s">
        <v>759</v>
      </c>
      <c r="T11" s="65" t="s">
        <v>576</v>
      </c>
      <c r="U11" s="66"/>
      <c r="V11" s="67"/>
      <c r="W11" s="68" t="s">
        <v>813</v>
      </c>
      <c r="X11" s="65" t="s">
        <v>748</v>
      </c>
      <c r="Y11" s="65" t="s">
        <v>568</v>
      </c>
      <c r="Z11" s="66"/>
      <c r="AA11" s="67"/>
      <c r="AB11" s="68" t="s">
        <v>814</v>
      </c>
      <c r="AC11" s="65" t="s">
        <v>759</v>
      </c>
      <c r="AD11" s="65" t="s">
        <v>517</v>
      </c>
      <c r="AE11" s="66"/>
      <c r="AF11" s="67"/>
      <c r="AG11" s="69"/>
      <c r="AH11" s="66"/>
      <c r="AI11" s="66"/>
      <c r="AJ11" s="66"/>
      <c r="AK11" s="67"/>
      <c r="AL11" s="69"/>
      <c r="AM11" s="66"/>
      <c r="AN11" s="66"/>
      <c r="AO11" s="66"/>
      <c r="AP11" s="67"/>
      <c r="AQ11" s="69"/>
      <c r="AR11" s="66"/>
      <c r="AS11" s="66"/>
      <c r="AT11" s="66"/>
      <c r="AU11" s="67"/>
      <c r="AV11" s="69"/>
      <c r="AW11" s="66"/>
      <c r="AX11" s="66"/>
      <c r="AY11" s="66"/>
      <c r="AZ11" s="67"/>
      <c r="BA11" s="69"/>
      <c r="BB11" s="66"/>
      <c r="BC11" s="66"/>
      <c r="BD11" s="66"/>
      <c r="BE11" s="67"/>
      <c r="BF11" s="69"/>
      <c r="BG11" s="66"/>
      <c r="BH11" s="66"/>
      <c r="BI11" s="66"/>
      <c r="BJ11" s="66"/>
    </row>
    <row r="12">
      <c r="A12" s="59" t="s">
        <v>800</v>
      </c>
      <c r="B12" s="59" t="s">
        <v>527</v>
      </c>
      <c r="C12" s="60" t="s">
        <v>815</v>
      </c>
      <c r="D12" s="60" t="s">
        <v>748</v>
      </c>
      <c r="E12" s="60" t="s">
        <v>561</v>
      </c>
      <c r="F12" s="61"/>
      <c r="G12" s="62"/>
      <c r="H12" s="63" t="s">
        <v>787</v>
      </c>
      <c r="I12" s="60" t="s">
        <v>748</v>
      </c>
      <c r="J12" s="60" t="s">
        <v>574</v>
      </c>
      <c r="K12" s="61"/>
      <c r="L12" s="62"/>
      <c r="M12" s="63" t="s">
        <v>816</v>
      </c>
      <c r="N12" s="60" t="s">
        <v>759</v>
      </c>
      <c r="O12" s="60" t="s">
        <v>546</v>
      </c>
      <c r="P12" s="61"/>
      <c r="Q12" s="62"/>
      <c r="R12" s="63" t="s">
        <v>763</v>
      </c>
      <c r="S12" s="60" t="s">
        <v>748</v>
      </c>
      <c r="T12" s="60" t="s">
        <v>547</v>
      </c>
      <c r="U12" s="61"/>
      <c r="V12" s="62"/>
      <c r="W12" s="63" t="s">
        <v>772</v>
      </c>
      <c r="X12" s="60" t="s">
        <v>777</v>
      </c>
      <c r="Y12" s="60" t="s">
        <v>550</v>
      </c>
      <c r="Z12" s="61"/>
      <c r="AA12" s="62"/>
      <c r="AB12" s="63" t="s">
        <v>817</v>
      </c>
      <c r="AC12" s="60" t="s">
        <v>748</v>
      </c>
      <c r="AD12" s="60" t="s">
        <v>553</v>
      </c>
      <c r="AE12" s="61"/>
      <c r="AF12" s="62"/>
      <c r="AG12" s="63" t="s">
        <v>773</v>
      </c>
      <c r="AH12" s="60" t="s">
        <v>748</v>
      </c>
      <c r="AI12" s="60" t="s">
        <v>556</v>
      </c>
      <c r="AJ12" s="61"/>
      <c r="AK12" s="62"/>
      <c r="AL12" s="63" t="s">
        <v>818</v>
      </c>
      <c r="AM12" s="60" t="s">
        <v>759</v>
      </c>
      <c r="AN12" s="60" t="s">
        <v>569</v>
      </c>
      <c r="AO12" s="61"/>
      <c r="AP12" s="62"/>
      <c r="AQ12" s="63" t="s">
        <v>819</v>
      </c>
      <c r="AR12" s="60" t="s">
        <v>748</v>
      </c>
      <c r="AS12" s="60" t="s">
        <v>532</v>
      </c>
      <c r="AT12" s="61"/>
      <c r="AU12" s="62"/>
      <c r="AV12" s="64"/>
      <c r="AW12" s="61"/>
      <c r="AX12" s="61"/>
      <c r="AY12" s="61"/>
      <c r="AZ12" s="62"/>
      <c r="BA12" s="64"/>
      <c r="BB12" s="61"/>
      <c r="BC12" s="61"/>
      <c r="BD12" s="61"/>
      <c r="BE12" s="62"/>
      <c r="BF12" s="64"/>
      <c r="BG12" s="61"/>
      <c r="BH12" s="61"/>
      <c r="BI12" s="61"/>
      <c r="BJ12" s="61"/>
    </row>
    <row r="13">
      <c r="A13" s="59" t="s">
        <v>800</v>
      </c>
      <c r="B13" s="59" t="s">
        <v>528</v>
      </c>
      <c r="C13" s="65" t="s">
        <v>820</v>
      </c>
      <c r="D13" s="65" t="s">
        <v>748</v>
      </c>
      <c r="E13" s="65" t="s">
        <v>532</v>
      </c>
      <c r="F13" s="66"/>
      <c r="G13" s="67"/>
      <c r="H13" s="68" t="s">
        <v>821</v>
      </c>
      <c r="I13" s="65" t="s">
        <v>759</v>
      </c>
      <c r="J13" s="65" t="s">
        <v>546</v>
      </c>
      <c r="K13" s="66"/>
      <c r="L13" s="67"/>
      <c r="M13" s="68" t="s">
        <v>779</v>
      </c>
      <c r="N13" s="65" t="s">
        <v>748</v>
      </c>
      <c r="O13" s="65" t="s">
        <v>550</v>
      </c>
      <c r="P13" s="66"/>
      <c r="Q13" s="67"/>
      <c r="R13" s="68" t="s">
        <v>822</v>
      </c>
      <c r="S13" s="65" t="s">
        <v>759</v>
      </c>
      <c r="T13" s="65" t="s">
        <v>559</v>
      </c>
      <c r="U13" s="66"/>
      <c r="V13" s="67"/>
      <c r="W13" s="68" t="s">
        <v>823</v>
      </c>
      <c r="X13" s="65" t="s">
        <v>777</v>
      </c>
      <c r="Y13" s="65" t="s">
        <v>560</v>
      </c>
      <c r="Z13" s="66"/>
      <c r="AA13" s="67"/>
      <c r="AB13" s="68" t="s">
        <v>824</v>
      </c>
      <c r="AC13" s="65" t="s">
        <v>777</v>
      </c>
      <c r="AD13" s="65" t="s">
        <v>567</v>
      </c>
      <c r="AE13" s="66"/>
      <c r="AF13" s="67"/>
      <c r="AG13" s="68" t="s">
        <v>798</v>
      </c>
      <c r="AH13" s="65" t="s">
        <v>759</v>
      </c>
      <c r="AI13" s="65" t="s">
        <v>569</v>
      </c>
      <c r="AJ13" s="66"/>
      <c r="AK13" s="67"/>
      <c r="AL13" s="68" t="s">
        <v>771</v>
      </c>
      <c r="AM13" s="65" t="s">
        <v>777</v>
      </c>
      <c r="AN13" s="65" t="s">
        <v>570</v>
      </c>
      <c r="AO13" s="66"/>
      <c r="AP13" s="67"/>
      <c r="AQ13" s="68" t="s">
        <v>782</v>
      </c>
      <c r="AR13" s="65" t="s">
        <v>748</v>
      </c>
      <c r="AS13" s="65" t="s">
        <v>572</v>
      </c>
      <c r="AT13" s="66"/>
      <c r="AU13" s="67"/>
      <c r="AV13" s="68" t="s">
        <v>804</v>
      </c>
      <c r="AW13" s="65" t="s">
        <v>750</v>
      </c>
      <c r="AX13" s="66"/>
      <c r="AY13" s="66"/>
      <c r="AZ13" s="67"/>
      <c r="BA13" s="68" t="s">
        <v>825</v>
      </c>
      <c r="BB13" s="65" t="s">
        <v>748</v>
      </c>
      <c r="BC13" s="65" t="s">
        <v>537</v>
      </c>
      <c r="BD13" s="66"/>
      <c r="BE13" s="67"/>
      <c r="BF13" s="68" t="s">
        <v>826</v>
      </c>
      <c r="BG13" s="65" t="s">
        <v>759</v>
      </c>
      <c r="BH13" s="65" t="s">
        <v>566</v>
      </c>
      <c r="BI13" s="66"/>
      <c r="BJ13" s="66"/>
    </row>
    <row r="14">
      <c r="A14" s="59" t="s">
        <v>800</v>
      </c>
      <c r="B14" s="59" t="s">
        <v>529</v>
      </c>
      <c r="C14" s="60" t="s">
        <v>827</v>
      </c>
      <c r="D14" s="60" t="s">
        <v>777</v>
      </c>
      <c r="E14" s="60" t="s">
        <v>563</v>
      </c>
      <c r="F14" s="61"/>
      <c r="G14" s="62"/>
      <c r="H14" s="63" t="s">
        <v>828</v>
      </c>
      <c r="I14" s="60" t="s">
        <v>777</v>
      </c>
      <c r="J14" s="60" t="s">
        <v>568</v>
      </c>
      <c r="K14" s="61"/>
      <c r="L14" s="62"/>
      <c r="M14" s="63" t="s">
        <v>829</v>
      </c>
      <c r="N14" s="60" t="s">
        <v>748</v>
      </c>
      <c r="O14" s="60" t="s">
        <v>536</v>
      </c>
      <c r="P14" s="61"/>
      <c r="Q14" s="62"/>
      <c r="R14" s="63" t="s">
        <v>790</v>
      </c>
      <c r="S14" s="60" t="s">
        <v>750</v>
      </c>
      <c r="T14" s="61"/>
      <c r="U14" s="61"/>
      <c r="V14" s="62"/>
      <c r="W14" s="63" t="s">
        <v>830</v>
      </c>
      <c r="X14" s="60" t="s">
        <v>759</v>
      </c>
      <c r="Y14" s="60" t="s">
        <v>557</v>
      </c>
      <c r="Z14" s="61"/>
      <c r="AA14" s="62"/>
      <c r="AB14" s="63" t="s">
        <v>765</v>
      </c>
      <c r="AC14" s="60" t="s">
        <v>748</v>
      </c>
      <c r="AD14" s="60" t="s">
        <v>559</v>
      </c>
      <c r="AE14" s="61"/>
      <c r="AF14" s="62"/>
      <c r="AG14" s="64"/>
      <c r="AH14" s="61"/>
      <c r="AI14" s="61"/>
      <c r="AJ14" s="61"/>
      <c r="AK14" s="62"/>
      <c r="AL14" s="64"/>
      <c r="AM14" s="61"/>
      <c r="AN14" s="61"/>
      <c r="AO14" s="61"/>
      <c r="AP14" s="62"/>
      <c r="AQ14" s="64"/>
      <c r="AR14" s="61"/>
      <c r="AS14" s="61"/>
      <c r="AT14" s="61"/>
      <c r="AU14" s="62"/>
      <c r="AV14" s="64"/>
      <c r="AW14" s="61"/>
      <c r="AX14" s="61"/>
      <c r="AY14" s="61"/>
      <c r="AZ14" s="62"/>
      <c r="BA14" s="64"/>
      <c r="BB14" s="61"/>
      <c r="BC14" s="61"/>
      <c r="BD14" s="61"/>
      <c r="BE14" s="62"/>
      <c r="BF14" s="64"/>
      <c r="BG14" s="61"/>
      <c r="BH14" s="61"/>
      <c r="BI14" s="61"/>
      <c r="BJ14" s="61"/>
    </row>
    <row r="15">
      <c r="A15" s="59" t="s">
        <v>800</v>
      </c>
      <c r="B15" s="59" t="s">
        <v>530</v>
      </c>
      <c r="C15" s="65" t="s">
        <v>831</v>
      </c>
      <c r="D15" s="65" t="s">
        <v>748</v>
      </c>
      <c r="E15" s="65" t="s">
        <v>541</v>
      </c>
      <c r="F15" s="66"/>
      <c r="G15" s="67"/>
      <c r="H15" s="68" t="s">
        <v>832</v>
      </c>
      <c r="I15" s="65" t="s">
        <v>759</v>
      </c>
      <c r="J15" s="65" t="s">
        <v>517</v>
      </c>
      <c r="K15" s="66"/>
      <c r="L15" s="67"/>
      <c r="M15" s="68" t="s">
        <v>790</v>
      </c>
      <c r="N15" s="65" t="s">
        <v>777</v>
      </c>
      <c r="O15" s="65" t="s">
        <v>544</v>
      </c>
      <c r="P15" s="66"/>
      <c r="Q15" s="67"/>
      <c r="R15" s="68" t="s">
        <v>764</v>
      </c>
      <c r="S15" s="65" t="s">
        <v>748</v>
      </c>
      <c r="T15" s="65" t="s">
        <v>552</v>
      </c>
      <c r="U15" s="66"/>
      <c r="V15" s="67"/>
      <c r="W15" s="68" t="s">
        <v>833</v>
      </c>
      <c r="X15" s="65" t="s">
        <v>748</v>
      </c>
      <c r="Y15" s="65" t="s">
        <v>577</v>
      </c>
      <c r="Z15" s="66"/>
      <c r="AA15" s="67"/>
      <c r="AB15" s="68" t="s">
        <v>834</v>
      </c>
      <c r="AC15" s="65" t="s">
        <v>748</v>
      </c>
      <c r="AD15" s="65" t="s">
        <v>578</v>
      </c>
      <c r="AE15" s="66"/>
      <c r="AF15" s="67"/>
      <c r="AG15" s="68" t="s">
        <v>835</v>
      </c>
      <c r="AH15" s="65" t="s">
        <v>748</v>
      </c>
      <c r="AI15" s="65" t="s">
        <v>533</v>
      </c>
      <c r="AJ15" s="66"/>
      <c r="AK15" s="67"/>
      <c r="AL15" s="69"/>
      <c r="AM15" s="66"/>
      <c r="AN15" s="66"/>
      <c r="AO15" s="66"/>
      <c r="AP15" s="67"/>
      <c r="AQ15" s="69"/>
      <c r="AR15" s="66"/>
      <c r="AS15" s="66"/>
      <c r="AT15" s="66"/>
      <c r="AU15" s="67"/>
      <c r="AV15" s="69"/>
      <c r="AW15" s="66"/>
      <c r="AX15" s="66"/>
      <c r="AY15" s="66"/>
      <c r="AZ15" s="67"/>
      <c r="BA15" s="69"/>
      <c r="BB15" s="66"/>
      <c r="BC15" s="66"/>
      <c r="BD15" s="66"/>
      <c r="BE15" s="67"/>
      <c r="BF15" s="69"/>
      <c r="BG15" s="66"/>
      <c r="BH15" s="66"/>
      <c r="BI15" s="66"/>
      <c r="BJ15" s="66"/>
    </row>
    <row r="16">
      <c r="A16" s="59" t="s">
        <v>836</v>
      </c>
      <c r="B16" s="59" t="s">
        <v>524</v>
      </c>
      <c r="C16" s="60" t="s">
        <v>775</v>
      </c>
      <c r="D16" s="60" t="s">
        <v>750</v>
      </c>
      <c r="E16" s="61"/>
      <c r="F16" s="61"/>
      <c r="G16" s="62"/>
      <c r="H16" s="63" t="s">
        <v>787</v>
      </c>
      <c r="I16" s="60" t="s">
        <v>759</v>
      </c>
      <c r="J16" s="60" t="s">
        <v>574</v>
      </c>
      <c r="K16" s="61"/>
      <c r="L16" s="62"/>
      <c r="M16" s="63" t="s">
        <v>837</v>
      </c>
      <c r="N16" s="60" t="s">
        <v>748</v>
      </c>
      <c r="O16" s="60" t="s">
        <v>578</v>
      </c>
      <c r="P16" s="61"/>
      <c r="Q16" s="62"/>
      <c r="R16" s="63" t="s">
        <v>838</v>
      </c>
      <c r="S16" s="60" t="s">
        <v>777</v>
      </c>
      <c r="T16" s="60" t="s">
        <v>531</v>
      </c>
      <c r="U16" s="61"/>
      <c r="V16" s="62"/>
      <c r="W16" s="64"/>
      <c r="X16" s="61"/>
      <c r="Y16" s="61"/>
      <c r="Z16" s="61"/>
      <c r="AA16" s="62"/>
      <c r="AB16" s="64"/>
      <c r="AC16" s="61"/>
      <c r="AD16" s="61"/>
      <c r="AE16" s="61"/>
      <c r="AF16" s="62"/>
      <c r="AG16" s="64"/>
      <c r="AH16" s="61"/>
      <c r="AI16" s="61"/>
      <c r="AJ16" s="61"/>
      <c r="AK16" s="62"/>
      <c r="AL16" s="64"/>
      <c r="AM16" s="61"/>
      <c r="AN16" s="61"/>
      <c r="AO16" s="61"/>
      <c r="AP16" s="62"/>
      <c r="AQ16" s="64"/>
      <c r="AR16" s="61"/>
      <c r="AS16" s="61"/>
      <c r="AT16" s="61"/>
      <c r="AU16" s="62"/>
      <c r="AV16" s="64"/>
      <c r="AW16" s="61"/>
      <c r="AX16" s="61"/>
      <c r="AY16" s="61"/>
      <c r="AZ16" s="62"/>
      <c r="BA16" s="64"/>
      <c r="BB16" s="61"/>
      <c r="BC16" s="61"/>
      <c r="BD16" s="61"/>
      <c r="BE16" s="62"/>
      <c r="BF16" s="64"/>
      <c r="BG16" s="61"/>
      <c r="BH16" s="61"/>
      <c r="BI16" s="61"/>
      <c r="BJ16" s="61"/>
    </row>
    <row r="17">
      <c r="A17" s="59" t="s">
        <v>836</v>
      </c>
      <c r="B17" s="59" t="s">
        <v>525</v>
      </c>
      <c r="C17" s="65" t="s">
        <v>828</v>
      </c>
      <c r="D17" s="65" t="s">
        <v>748</v>
      </c>
      <c r="E17" s="65" t="s">
        <v>568</v>
      </c>
      <c r="F17" s="66"/>
      <c r="G17" s="67"/>
      <c r="H17" s="68" t="s">
        <v>839</v>
      </c>
      <c r="I17" s="65" t="s">
        <v>748</v>
      </c>
      <c r="J17" s="65" t="s">
        <v>573</v>
      </c>
      <c r="K17" s="66"/>
      <c r="L17" s="67"/>
      <c r="M17" s="68" t="s">
        <v>749</v>
      </c>
      <c r="N17" s="65" t="s">
        <v>748</v>
      </c>
      <c r="O17" s="65" t="s">
        <v>576</v>
      </c>
      <c r="P17" s="66"/>
      <c r="Q17" s="67"/>
      <c r="R17" s="68" t="s">
        <v>788</v>
      </c>
      <c r="S17" s="65" t="s">
        <v>750</v>
      </c>
      <c r="T17" s="66"/>
      <c r="U17" s="66"/>
      <c r="V17" s="67"/>
      <c r="W17" s="68" t="s">
        <v>757</v>
      </c>
      <c r="X17" s="65" t="s">
        <v>759</v>
      </c>
      <c r="Y17" s="65" t="s">
        <v>540</v>
      </c>
      <c r="Z17" s="66"/>
      <c r="AA17" s="67"/>
      <c r="AB17" s="68" t="s">
        <v>807</v>
      </c>
      <c r="AC17" s="65" t="s">
        <v>748</v>
      </c>
      <c r="AD17" s="65" t="s">
        <v>543</v>
      </c>
      <c r="AE17" s="66"/>
      <c r="AF17" s="67"/>
      <c r="AG17" s="68" t="s">
        <v>765</v>
      </c>
      <c r="AH17" s="65" t="s">
        <v>748</v>
      </c>
      <c r="AI17" s="65" t="s">
        <v>559</v>
      </c>
      <c r="AJ17" s="66"/>
      <c r="AK17" s="67"/>
      <c r="AL17" s="68" t="s">
        <v>760</v>
      </c>
      <c r="AM17" s="65" t="s">
        <v>750</v>
      </c>
      <c r="AN17" s="66"/>
      <c r="AO17" s="66"/>
      <c r="AP17" s="67"/>
      <c r="AQ17" s="68" t="s">
        <v>840</v>
      </c>
      <c r="AR17" s="65" t="s">
        <v>748</v>
      </c>
      <c r="AS17" s="65" t="s">
        <v>531</v>
      </c>
      <c r="AT17" s="66"/>
      <c r="AU17" s="67"/>
      <c r="AV17" s="69"/>
      <c r="AW17" s="66"/>
      <c r="AX17" s="66"/>
      <c r="AY17" s="66"/>
      <c r="AZ17" s="67"/>
      <c r="BA17" s="69"/>
      <c r="BB17" s="66"/>
      <c r="BC17" s="66"/>
      <c r="BD17" s="66"/>
      <c r="BE17" s="67"/>
      <c r="BF17" s="69"/>
      <c r="BG17" s="66"/>
      <c r="BH17" s="66"/>
      <c r="BI17" s="66"/>
      <c r="BJ17" s="66"/>
    </row>
    <row r="18">
      <c r="A18" s="59" t="s">
        <v>836</v>
      </c>
      <c r="B18" s="59" t="s">
        <v>526</v>
      </c>
      <c r="C18" s="60" t="s">
        <v>841</v>
      </c>
      <c r="D18" s="60" t="s">
        <v>759</v>
      </c>
      <c r="E18" s="60" t="s">
        <v>540</v>
      </c>
      <c r="F18" s="61"/>
      <c r="G18" s="62"/>
      <c r="H18" s="63" t="s">
        <v>776</v>
      </c>
      <c r="I18" s="60" t="s">
        <v>759</v>
      </c>
      <c r="J18" s="60" t="s">
        <v>545</v>
      </c>
      <c r="K18" s="61"/>
      <c r="L18" s="62"/>
      <c r="M18" s="63" t="s">
        <v>842</v>
      </c>
      <c r="N18" s="60" t="s">
        <v>750</v>
      </c>
      <c r="O18" s="61"/>
      <c r="P18" s="61"/>
      <c r="Q18" s="62"/>
      <c r="R18" s="63" t="s">
        <v>803</v>
      </c>
      <c r="S18" s="60" t="s">
        <v>777</v>
      </c>
      <c r="T18" s="60" t="s">
        <v>557</v>
      </c>
      <c r="U18" s="61"/>
      <c r="V18" s="62"/>
      <c r="W18" s="63" t="s">
        <v>839</v>
      </c>
      <c r="X18" s="60" t="s">
        <v>748</v>
      </c>
      <c r="Y18" s="60" t="s">
        <v>573</v>
      </c>
      <c r="Z18" s="61"/>
      <c r="AA18" s="62"/>
      <c r="AB18" s="63" t="s">
        <v>843</v>
      </c>
      <c r="AC18" s="60" t="s">
        <v>759</v>
      </c>
      <c r="AD18" s="60" t="s">
        <v>579</v>
      </c>
      <c r="AE18" s="61"/>
      <c r="AF18" s="62"/>
      <c r="AG18" s="63" t="s">
        <v>844</v>
      </c>
      <c r="AH18" s="60" t="s">
        <v>777</v>
      </c>
      <c r="AI18" s="60" t="s">
        <v>542</v>
      </c>
      <c r="AJ18" s="61"/>
      <c r="AK18" s="62"/>
      <c r="AL18" s="63" t="s">
        <v>791</v>
      </c>
      <c r="AM18" s="60" t="s">
        <v>750</v>
      </c>
      <c r="AN18" s="61"/>
      <c r="AO18" s="61"/>
      <c r="AP18" s="62"/>
      <c r="AQ18" s="63" t="s">
        <v>845</v>
      </c>
      <c r="AR18" s="60" t="s">
        <v>748</v>
      </c>
      <c r="AS18" s="60" t="s">
        <v>560</v>
      </c>
      <c r="AT18" s="61"/>
      <c r="AU18" s="62"/>
      <c r="AV18" s="63" t="s">
        <v>813</v>
      </c>
      <c r="AW18" s="60" t="s">
        <v>748</v>
      </c>
      <c r="AX18" s="60" t="s">
        <v>568</v>
      </c>
      <c r="AY18" s="61"/>
      <c r="AZ18" s="62"/>
      <c r="BA18" s="63" t="s">
        <v>785</v>
      </c>
      <c r="BB18" s="60" t="s">
        <v>750</v>
      </c>
      <c r="BC18" s="61"/>
      <c r="BD18" s="61"/>
      <c r="BE18" s="62"/>
      <c r="BF18" s="64"/>
      <c r="BG18" s="61"/>
      <c r="BH18" s="61"/>
      <c r="BI18" s="61"/>
      <c r="BJ18" s="61"/>
    </row>
    <row r="19">
      <c r="A19" s="59" t="s">
        <v>836</v>
      </c>
      <c r="B19" s="59" t="s">
        <v>527</v>
      </c>
      <c r="C19" s="65" t="s">
        <v>846</v>
      </c>
      <c r="D19" s="65" t="s">
        <v>777</v>
      </c>
      <c r="E19" s="65" t="s">
        <v>517</v>
      </c>
      <c r="F19" s="66"/>
      <c r="G19" s="67"/>
      <c r="H19" s="68" t="s">
        <v>754</v>
      </c>
      <c r="I19" s="65" t="s">
        <v>759</v>
      </c>
      <c r="J19" s="65" t="s">
        <v>540</v>
      </c>
      <c r="K19" s="66"/>
      <c r="L19" s="67"/>
      <c r="M19" s="68" t="s">
        <v>795</v>
      </c>
      <c r="N19" s="65" t="s">
        <v>777</v>
      </c>
      <c r="O19" s="65" t="s">
        <v>543</v>
      </c>
      <c r="P19" s="66"/>
      <c r="Q19" s="67"/>
      <c r="R19" s="68" t="s">
        <v>796</v>
      </c>
      <c r="S19" s="65" t="s">
        <v>748</v>
      </c>
      <c r="T19" s="65" t="s">
        <v>544</v>
      </c>
      <c r="U19" s="66"/>
      <c r="V19" s="67"/>
      <c r="W19" s="68" t="s">
        <v>827</v>
      </c>
      <c r="X19" s="65" t="s">
        <v>750</v>
      </c>
      <c r="Y19" s="66"/>
      <c r="Z19" s="66"/>
      <c r="AA19" s="67"/>
      <c r="AB19" s="68" t="s">
        <v>829</v>
      </c>
      <c r="AC19" s="65" t="s">
        <v>748</v>
      </c>
      <c r="AD19" s="65" t="s">
        <v>536</v>
      </c>
      <c r="AE19" s="66"/>
      <c r="AF19" s="67"/>
      <c r="AG19" s="68" t="s">
        <v>762</v>
      </c>
      <c r="AH19" s="65" t="s">
        <v>759</v>
      </c>
      <c r="AI19" s="65" t="s">
        <v>545</v>
      </c>
      <c r="AJ19" s="66"/>
      <c r="AK19" s="67"/>
      <c r="AL19" s="68" t="s">
        <v>808</v>
      </c>
      <c r="AM19" s="65" t="s">
        <v>759</v>
      </c>
      <c r="AN19" s="65" t="s">
        <v>564</v>
      </c>
      <c r="AO19" s="66"/>
      <c r="AP19" s="67"/>
      <c r="AQ19" s="68" t="s">
        <v>847</v>
      </c>
      <c r="AR19" s="65" t="s">
        <v>759</v>
      </c>
      <c r="AS19" s="65" t="s">
        <v>565</v>
      </c>
      <c r="AT19" s="66"/>
      <c r="AU19" s="67"/>
      <c r="AV19" s="68" t="s">
        <v>811</v>
      </c>
      <c r="AW19" s="65" t="s">
        <v>750</v>
      </c>
      <c r="AX19" s="66"/>
      <c r="AY19" s="66"/>
      <c r="AZ19" s="67"/>
      <c r="BA19" s="68" t="s">
        <v>766</v>
      </c>
      <c r="BB19" s="65" t="s">
        <v>748</v>
      </c>
      <c r="BC19" s="65" t="s">
        <v>579</v>
      </c>
      <c r="BD19" s="66"/>
      <c r="BE19" s="67"/>
      <c r="BF19" s="69"/>
      <c r="BG19" s="66"/>
      <c r="BH19" s="66"/>
      <c r="BI19" s="66"/>
      <c r="BJ19" s="66"/>
    </row>
    <row r="20">
      <c r="A20" s="59" t="s">
        <v>836</v>
      </c>
      <c r="B20" s="59" t="s">
        <v>528</v>
      </c>
      <c r="C20" s="60" t="s">
        <v>769</v>
      </c>
      <c r="D20" s="60" t="s">
        <v>777</v>
      </c>
      <c r="E20" s="60" t="s">
        <v>548</v>
      </c>
      <c r="F20" s="61"/>
      <c r="G20" s="62"/>
      <c r="H20" s="63" t="s">
        <v>770</v>
      </c>
      <c r="I20" s="60" t="s">
        <v>750</v>
      </c>
      <c r="J20" s="61"/>
      <c r="K20" s="61"/>
      <c r="L20" s="62"/>
      <c r="M20" s="63" t="s">
        <v>822</v>
      </c>
      <c r="N20" s="60" t="s">
        <v>748</v>
      </c>
      <c r="O20" s="60" t="s">
        <v>559</v>
      </c>
      <c r="P20" s="61"/>
      <c r="Q20" s="62"/>
      <c r="R20" s="63" t="s">
        <v>789</v>
      </c>
      <c r="S20" s="60" t="s">
        <v>748</v>
      </c>
      <c r="T20" s="60" t="s">
        <v>538</v>
      </c>
      <c r="U20" s="61"/>
      <c r="V20" s="62"/>
      <c r="W20" s="63" t="s">
        <v>763</v>
      </c>
      <c r="X20" s="60" t="s">
        <v>748</v>
      </c>
      <c r="Y20" s="60" t="s">
        <v>547</v>
      </c>
      <c r="Z20" s="61"/>
      <c r="AA20" s="62"/>
      <c r="AB20" s="63" t="s">
        <v>764</v>
      </c>
      <c r="AC20" s="60" t="s">
        <v>750</v>
      </c>
      <c r="AD20" s="61"/>
      <c r="AE20" s="61"/>
      <c r="AF20" s="62"/>
      <c r="AG20" s="63" t="s">
        <v>785</v>
      </c>
      <c r="AH20" s="60" t="s">
        <v>748</v>
      </c>
      <c r="AI20" s="60" t="s">
        <v>574</v>
      </c>
      <c r="AJ20" s="61"/>
      <c r="AK20" s="62"/>
      <c r="AL20" s="64"/>
      <c r="AM20" s="61"/>
      <c r="AN20" s="61"/>
      <c r="AO20" s="61"/>
      <c r="AP20" s="62"/>
      <c r="AQ20" s="64"/>
      <c r="AR20" s="61"/>
      <c r="AS20" s="61"/>
      <c r="AT20" s="61"/>
      <c r="AU20" s="62"/>
      <c r="AV20" s="64"/>
      <c r="AW20" s="61"/>
      <c r="AX20" s="61"/>
      <c r="AY20" s="61"/>
      <c r="AZ20" s="62"/>
      <c r="BA20" s="64"/>
      <c r="BB20" s="61"/>
      <c r="BC20" s="61"/>
      <c r="BD20" s="61"/>
      <c r="BE20" s="62"/>
      <c r="BF20" s="64"/>
      <c r="BG20" s="61"/>
      <c r="BH20" s="61"/>
      <c r="BI20" s="61"/>
      <c r="BJ20" s="61"/>
    </row>
    <row r="21">
      <c r="A21" s="59" t="s">
        <v>836</v>
      </c>
      <c r="B21" s="59" t="s">
        <v>529</v>
      </c>
      <c r="C21" s="65" t="s">
        <v>848</v>
      </c>
      <c r="D21" s="65" t="s">
        <v>759</v>
      </c>
      <c r="E21" s="65" t="s">
        <v>551</v>
      </c>
      <c r="F21" s="66"/>
      <c r="G21" s="67"/>
      <c r="H21" s="68" t="s">
        <v>772</v>
      </c>
      <c r="I21" s="65" t="s">
        <v>748</v>
      </c>
      <c r="J21" s="65" t="s">
        <v>550</v>
      </c>
      <c r="K21" s="66"/>
      <c r="L21" s="67"/>
      <c r="M21" s="68" t="s">
        <v>849</v>
      </c>
      <c r="N21" s="65" t="s">
        <v>750</v>
      </c>
      <c r="O21" s="66"/>
      <c r="P21" s="66"/>
      <c r="Q21" s="67"/>
      <c r="R21" s="68" t="s">
        <v>814</v>
      </c>
      <c r="S21" s="65" t="s">
        <v>748</v>
      </c>
      <c r="T21" s="65" t="s">
        <v>517</v>
      </c>
      <c r="U21" s="66"/>
      <c r="V21" s="67"/>
      <c r="W21" s="68" t="s">
        <v>819</v>
      </c>
      <c r="X21" s="65" t="s">
        <v>748</v>
      </c>
      <c r="Y21" s="65" t="s">
        <v>532</v>
      </c>
      <c r="Z21" s="66"/>
      <c r="AA21" s="67"/>
      <c r="AB21" s="69"/>
      <c r="AC21" s="66"/>
      <c r="AD21" s="66"/>
      <c r="AE21" s="66"/>
      <c r="AF21" s="67"/>
      <c r="AG21" s="69"/>
      <c r="AH21" s="66"/>
      <c r="AI21" s="66"/>
      <c r="AJ21" s="66"/>
      <c r="AK21" s="67"/>
      <c r="AL21" s="69"/>
      <c r="AM21" s="66"/>
      <c r="AN21" s="66"/>
      <c r="AO21" s="66"/>
      <c r="AP21" s="67"/>
      <c r="AQ21" s="69"/>
      <c r="AR21" s="66"/>
      <c r="AS21" s="66"/>
      <c r="AT21" s="66"/>
      <c r="AU21" s="67"/>
      <c r="AV21" s="69"/>
      <c r="AW21" s="66"/>
      <c r="AX21" s="66"/>
      <c r="AY21" s="66"/>
      <c r="AZ21" s="67"/>
      <c r="BA21" s="69"/>
      <c r="BB21" s="66"/>
      <c r="BC21" s="66"/>
      <c r="BD21" s="66"/>
      <c r="BE21" s="67"/>
      <c r="BF21" s="69"/>
      <c r="BG21" s="66"/>
      <c r="BH21" s="66"/>
      <c r="BI21" s="66"/>
      <c r="BJ21" s="66"/>
    </row>
    <row r="22">
      <c r="A22" s="59" t="s">
        <v>836</v>
      </c>
      <c r="B22" s="59" t="s">
        <v>530</v>
      </c>
      <c r="C22" s="60" t="s">
        <v>768</v>
      </c>
      <c r="D22" s="60" t="s">
        <v>759</v>
      </c>
      <c r="E22" s="60" t="s">
        <v>538</v>
      </c>
      <c r="F22" s="61"/>
      <c r="G22" s="62"/>
      <c r="H22" s="63" t="s">
        <v>778</v>
      </c>
      <c r="I22" s="60" t="s">
        <v>748</v>
      </c>
      <c r="J22" s="60" t="s">
        <v>547</v>
      </c>
      <c r="K22" s="61"/>
      <c r="L22" s="62"/>
      <c r="M22" s="63" t="s">
        <v>780</v>
      </c>
      <c r="N22" s="60" t="s">
        <v>748</v>
      </c>
      <c r="O22" s="60" t="s">
        <v>554</v>
      </c>
      <c r="P22" s="61"/>
      <c r="Q22" s="62"/>
      <c r="R22" s="63" t="s">
        <v>805</v>
      </c>
      <c r="S22" s="60" t="s">
        <v>777</v>
      </c>
      <c r="T22" s="60" t="s">
        <v>532</v>
      </c>
      <c r="U22" s="61"/>
      <c r="V22" s="62"/>
      <c r="W22" s="63" t="s">
        <v>761</v>
      </c>
      <c r="X22" s="60" t="s">
        <v>748</v>
      </c>
      <c r="Y22" s="60" t="s">
        <v>535</v>
      </c>
      <c r="Z22" s="61"/>
      <c r="AA22" s="62"/>
      <c r="AB22" s="63" t="s">
        <v>758</v>
      </c>
      <c r="AC22" s="60" t="s">
        <v>748</v>
      </c>
      <c r="AD22" s="60" t="s">
        <v>548</v>
      </c>
      <c r="AE22" s="61"/>
      <c r="AF22" s="62"/>
      <c r="AG22" s="64"/>
      <c r="AH22" s="61"/>
      <c r="AI22" s="61"/>
      <c r="AJ22" s="61"/>
      <c r="AK22" s="62"/>
      <c r="AL22" s="64"/>
      <c r="AM22" s="61"/>
      <c r="AN22" s="61"/>
      <c r="AO22" s="61"/>
      <c r="AP22" s="62"/>
      <c r="AQ22" s="64"/>
      <c r="AR22" s="61"/>
      <c r="AS22" s="61"/>
      <c r="AT22" s="61"/>
      <c r="AU22" s="62"/>
      <c r="AV22" s="64"/>
      <c r="AW22" s="61"/>
      <c r="AX22" s="61"/>
      <c r="AY22" s="61"/>
      <c r="AZ22" s="62"/>
      <c r="BA22" s="64"/>
      <c r="BB22" s="61"/>
      <c r="BC22" s="61"/>
      <c r="BD22" s="61"/>
      <c r="BE22" s="62"/>
      <c r="BF22" s="64"/>
      <c r="BG22" s="61"/>
      <c r="BH22" s="61"/>
      <c r="BI22" s="61"/>
      <c r="BJ22" s="61"/>
    </row>
    <row r="23">
      <c r="A23" s="59" t="s">
        <v>850</v>
      </c>
      <c r="B23" s="59" t="s">
        <v>524</v>
      </c>
      <c r="C23" s="65" t="s">
        <v>794</v>
      </c>
      <c r="D23" s="65" t="s">
        <v>748</v>
      </c>
      <c r="E23" s="65" t="s">
        <v>537</v>
      </c>
      <c r="F23" s="66"/>
      <c r="G23" s="67"/>
      <c r="H23" s="68" t="s">
        <v>848</v>
      </c>
      <c r="I23" s="65" t="s">
        <v>748</v>
      </c>
      <c r="J23" s="65" t="s">
        <v>551</v>
      </c>
      <c r="K23" s="66"/>
      <c r="L23" s="67"/>
      <c r="M23" s="68" t="s">
        <v>851</v>
      </c>
      <c r="N23" s="65" t="s">
        <v>750</v>
      </c>
      <c r="O23" s="66"/>
      <c r="P23" s="66"/>
      <c r="Q23" s="67"/>
      <c r="R23" s="68" t="s">
        <v>806</v>
      </c>
      <c r="S23" s="65" t="s">
        <v>750</v>
      </c>
      <c r="T23" s="66"/>
      <c r="U23" s="66"/>
      <c r="V23" s="67"/>
      <c r="W23" s="68" t="s">
        <v>752</v>
      </c>
      <c r="X23" s="65" t="s">
        <v>748</v>
      </c>
      <c r="Y23" s="65" t="s">
        <v>562</v>
      </c>
      <c r="Z23" s="66"/>
      <c r="AA23" s="67"/>
      <c r="AB23" s="68" t="s">
        <v>849</v>
      </c>
      <c r="AC23" s="65" t="s">
        <v>748</v>
      </c>
      <c r="AD23" s="65" t="s">
        <v>571</v>
      </c>
      <c r="AE23" s="66"/>
      <c r="AF23" s="67"/>
      <c r="AG23" s="69"/>
      <c r="AH23" s="66"/>
      <c r="AI23" s="66"/>
      <c r="AJ23" s="66"/>
      <c r="AK23" s="67"/>
      <c r="AL23" s="69"/>
      <c r="AM23" s="66"/>
      <c r="AN23" s="66"/>
      <c r="AO23" s="66"/>
      <c r="AP23" s="67"/>
      <c r="AQ23" s="69"/>
      <c r="AR23" s="66"/>
      <c r="AS23" s="66"/>
      <c r="AT23" s="66"/>
      <c r="AU23" s="67"/>
      <c r="AV23" s="69"/>
      <c r="AW23" s="66"/>
      <c r="AX23" s="66"/>
      <c r="AY23" s="66"/>
      <c r="AZ23" s="67"/>
      <c r="BA23" s="69"/>
      <c r="BB23" s="66"/>
      <c r="BC23" s="66"/>
      <c r="BD23" s="66"/>
      <c r="BE23" s="67"/>
      <c r="BF23" s="69"/>
      <c r="BG23" s="66"/>
      <c r="BH23" s="66"/>
      <c r="BI23" s="66"/>
      <c r="BJ23" s="66"/>
    </row>
    <row r="24">
      <c r="A24" s="59" t="s">
        <v>850</v>
      </c>
      <c r="B24" s="59" t="s">
        <v>525</v>
      </c>
      <c r="C24" s="60" t="s">
        <v>801</v>
      </c>
      <c r="D24" s="60" t="s">
        <v>759</v>
      </c>
      <c r="E24" s="60" t="s">
        <v>537</v>
      </c>
      <c r="F24" s="61"/>
      <c r="G24" s="62"/>
      <c r="H24" s="63" t="s">
        <v>852</v>
      </c>
      <c r="I24" s="60" t="s">
        <v>748</v>
      </c>
      <c r="J24" s="60" t="s">
        <v>552</v>
      </c>
      <c r="K24" s="61"/>
      <c r="L24" s="62"/>
      <c r="M24" s="63" t="s">
        <v>747</v>
      </c>
      <c r="N24" s="60" t="s">
        <v>759</v>
      </c>
      <c r="O24" s="60" t="s">
        <v>558</v>
      </c>
      <c r="P24" s="61"/>
      <c r="Q24" s="62"/>
      <c r="R24" s="63" t="s">
        <v>824</v>
      </c>
      <c r="S24" s="60" t="s">
        <v>748</v>
      </c>
      <c r="T24" s="60" t="s">
        <v>567</v>
      </c>
      <c r="U24" s="61"/>
      <c r="V24" s="62"/>
      <c r="W24" s="63" t="s">
        <v>783</v>
      </c>
      <c r="X24" s="60" t="s">
        <v>748</v>
      </c>
      <c r="Y24" s="60" t="s">
        <v>575</v>
      </c>
      <c r="Z24" s="61"/>
      <c r="AA24" s="62"/>
      <c r="AB24" s="63" t="s">
        <v>853</v>
      </c>
      <c r="AC24" s="60" t="s">
        <v>750</v>
      </c>
      <c r="AD24" s="61"/>
      <c r="AE24" s="61"/>
      <c r="AF24" s="62"/>
      <c r="AG24" s="64"/>
      <c r="AH24" s="61"/>
      <c r="AI24" s="61"/>
      <c r="AJ24" s="61"/>
      <c r="AK24" s="62"/>
      <c r="AL24" s="64"/>
      <c r="AM24" s="61"/>
      <c r="AN24" s="61"/>
      <c r="AO24" s="61"/>
      <c r="AP24" s="62"/>
      <c r="AQ24" s="64"/>
      <c r="AR24" s="61"/>
      <c r="AS24" s="61"/>
      <c r="AT24" s="61"/>
      <c r="AU24" s="62"/>
      <c r="AV24" s="64"/>
      <c r="AW24" s="61"/>
      <c r="AX24" s="61"/>
      <c r="AY24" s="61"/>
      <c r="AZ24" s="62"/>
      <c r="BA24" s="64"/>
      <c r="BB24" s="61"/>
      <c r="BC24" s="61"/>
      <c r="BD24" s="61"/>
      <c r="BE24" s="62"/>
      <c r="BF24" s="64"/>
      <c r="BG24" s="61"/>
      <c r="BH24" s="61"/>
      <c r="BI24" s="61"/>
      <c r="BJ24" s="61"/>
    </row>
    <row r="25">
      <c r="A25" s="59" t="s">
        <v>850</v>
      </c>
      <c r="B25" s="59" t="s">
        <v>526</v>
      </c>
      <c r="C25" s="65" t="s">
        <v>831</v>
      </c>
      <c r="D25" s="65" t="s">
        <v>750</v>
      </c>
      <c r="E25" s="66"/>
      <c r="F25" s="66"/>
      <c r="G25" s="67"/>
      <c r="H25" s="68" t="s">
        <v>803</v>
      </c>
      <c r="I25" s="65" t="s">
        <v>748</v>
      </c>
      <c r="J25" s="65" t="s">
        <v>557</v>
      </c>
      <c r="K25" s="66"/>
      <c r="L25" s="67"/>
      <c r="M25" s="68" t="s">
        <v>797</v>
      </c>
      <c r="N25" s="65" t="s">
        <v>750</v>
      </c>
      <c r="O25" s="66"/>
      <c r="P25" s="66"/>
      <c r="Q25" s="67"/>
      <c r="R25" s="68" t="s">
        <v>828</v>
      </c>
      <c r="S25" s="65" t="s">
        <v>748</v>
      </c>
      <c r="T25" s="65" t="s">
        <v>568</v>
      </c>
      <c r="U25" s="66"/>
      <c r="V25" s="67"/>
      <c r="W25" s="68" t="s">
        <v>838</v>
      </c>
      <c r="X25" s="65" t="s">
        <v>748</v>
      </c>
      <c r="Y25" s="65" t="s">
        <v>531</v>
      </c>
      <c r="Z25" s="66"/>
      <c r="AA25" s="67"/>
      <c r="AB25" s="68" t="s">
        <v>791</v>
      </c>
      <c r="AC25" s="65" t="s">
        <v>748</v>
      </c>
      <c r="AD25" s="65" t="s">
        <v>554</v>
      </c>
      <c r="AE25" s="66"/>
      <c r="AF25" s="67"/>
      <c r="AG25" s="69"/>
      <c r="AH25" s="66"/>
      <c r="AI25" s="66"/>
      <c r="AJ25" s="66"/>
      <c r="AK25" s="67"/>
      <c r="AL25" s="69"/>
      <c r="AM25" s="66"/>
      <c r="AN25" s="66"/>
      <c r="AO25" s="66"/>
      <c r="AP25" s="67"/>
      <c r="AQ25" s="69"/>
      <c r="AR25" s="66"/>
      <c r="AS25" s="66"/>
      <c r="AT25" s="66"/>
      <c r="AU25" s="67"/>
      <c r="AV25" s="69"/>
      <c r="AW25" s="66"/>
      <c r="AX25" s="66"/>
      <c r="AY25" s="66"/>
      <c r="AZ25" s="67"/>
      <c r="BA25" s="69"/>
      <c r="BB25" s="66"/>
      <c r="BC25" s="66"/>
      <c r="BD25" s="66"/>
      <c r="BE25" s="67"/>
      <c r="BF25" s="69"/>
      <c r="BG25" s="66"/>
      <c r="BH25" s="66"/>
      <c r="BI25" s="66"/>
      <c r="BJ25" s="66"/>
    </row>
    <row r="26">
      <c r="A26" s="59" t="s">
        <v>850</v>
      </c>
      <c r="B26" s="59" t="s">
        <v>527</v>
      </c>
      <c r="C26" s="61"/>
      <c r="D26" s="61"/>
      <c r="E26" s="61"/>
      <c r="F26" s="61"/>
      <c r="G26" s="62"/>
      <c r="H26" s="64"/>
      <c r="I26" s="61"/>
      <c r="J26" s="61"/>
      <c r="K26" s="61"/>
      <c r="L26" s="62"/>
      <c r="M26" s="64"/>
      <c r="N26" s="61"/>
      <c r="O26" s="61"/>
      <c r="P26" s="61"/>
      <c r="Q26" s="62"/>
      <c r="R26" s="64"/>
      <c r="S26" s="61"/>
      <c r="T26" s="61"/>
      <c r="U26" s="61"/>
      <c r="V26" s="62"/>
      <c r="W26" s="64"/>
      <c r="X26" s="61"/>
      <c r="Y26" s="61"/>
      <c r="Z26" s="61"/>
      <c r="AA26" s="62"/>
      <c r="AB26" s="64"/>
      <c r="AC26" s="61"/>
      <c r="AD26" s="61"/>
      <c r="AE26" s="61"/>
      <c r="AF26" s="62"/>
      <c r="AG26" s="64"/>
      <c r="AH26" s="61"/>
      <c r="AI26" s="61"/>
      <c r="AJ26" s="61"/>
      <c r="AK26" s="62"/>
      <c r="AL26" s="64"/>
      <c r="AM26" s="61"/>
      <c r="AN26" s="61"/>
      <c r="AO26" s="61"/>
      <c r="AP26" s="62"/>
      <c r="AQ26" s="64"/>
      <c r="AR26" s="61"/>
      <c r="AS26" s="61"/>
      <c r="AT26" s="61"/>
      <c r="AU26" s="62"/>
      <c r="AV26" s="64"/>
      <c r="AW26" s="61"/>
      <c r="AX26" s="61"/>
      <c r="AY26" s="61"/>
      <c r="AZ26" s="62"/>
      <c r="BA26" s="64"/>
      <c r="BB26" s="61"/>
      <c r="BC26" s="61"/>
      <c r="BD26" s="61"/>
      <c r="BE26" s="62"/>
      <c r="BF26" s="64"/>
      <c r="BG26" s="61"/>
      <c r="BH26" s="61"/>
      <c r="BI26" s="61"/>
      <c r="BJ26" s="61"/>
    </row>
    <row r="27">
      <c r="A27" s="59" t="s">
        <v>850</v>
      </c>
      <c r="B27" s="59" t="s">
        <v>528</v>
      </c>
      <c r="C27" s="65" t="s">
        <v>821</v>
      </c>
      <c r="D27" s="65" t="s">
        <v>777</v>
      </c>
      <c r="E27" s="65" t="s">
        <v>546</v>
      </c>
      <c r="F27" s="66"/>
      <c r="G27" s="67"/>
      <c r="H27" s="68" t="s">
        <v>781</v>
      </c>
      <c r="I27" s="65" t="s">
        <v>748</v>
      </c>
      <c r="J27" s="65" t="s">
        <v>571</v>
      </c>
      <c r="K27" s="66"/>
      <c r="L27" s="67"/>
      <c r="M27" s="68" t="s">
        <v>839</v>
      </c>
      <c r="N27" s="65" t="s">
        <v>748</v>
      </c>
      <c r="O27" s="65" t="s">
        <v>573</v>
      </c>
      <c r="P27" s="66"/>
      <c r="Q27" s="67"/>
      <c r="R27" s="68" t="s">
        <v>854</v>
      </c>
      <c r="S27" s="65" t="s">
        <v>748</v>
      </c>
      <c r="T27" s="65" t="s">
        <v>549</v>
      </c>
      <c r="U27" s="66"/>
      <c r="V27" s="67"/>
      <c r="W27" s="68" t="s">
        <v>830</v>
      </c>
      <c r="X27" s="65" t="s">
        <v>748</v>
      </c>
      <c r="Y27" s="65" t="s">
        <v>557</v>
      </c>
      <c r="Z27" s="66"/>
      <c r="AA27" s="67"/>
      <c r="AB27" s="68" t="s">
        <v>855</v>
      </c>
      <c r="AC27" s="65" t="s">
        <v>759</v>
      </c>
      <c r="AD27" s="65" t="s">
        <v>558</v>
      </c>
      <c r="AE27" s="66"/>
      <c r="AF27" s="67"/>
      <c r="AG27" s="68" t="s">
        <v>826</v>
      </c>
      <c r="AH27" s="65" t="s">
        <v>748</v>
      </c>
      <c r="AI27" s="65" t="s">
        <v>566</v>
      </c>
      <c r="AJ27" s="66"/>
      <c r="AK27" s="67"/>
      <c r="AL27" s="68" t="s">
        <v>809</v>
      </c>
      <c r="AM27" s="65" t="s">
        <v>748</v>
      </c>
      <c r="AN27" s="65" t="s">
        <v>567</v>
      </c>
      <c r="AO27" s="66"/>
      <c r="AP27" s="67"/>
      <c r="AQ27" s="68" t="s">
        <v>811</v>
      </c>
      <c r="AR27" s="65" t="s">
        <v>777</v>
      </c>
      <c r="AS27" s="65" t="s">
        <v>575</v>
      </c>
      <c r="AT27" s="66"/>
      <c r="AU27" s="67"/>
      <c r="AV27" s="68" t="s">
        <v>840</v>
      </c>
      <c r="AW27" s="65" t="s">
        <v>759</v>
      </c>
      <c r="AX27" s="65" t="s">
        <v>531</v>
      </c>
      <c r="AY27" s="66"/>
      <c r="AZ27" s="67"/>
      <c r="BA27" s="69"/>
      <c r="BB27" s="66"/>
      <c r="BC27" s="66"/>
      <c r="BD27" s="66"/>
      <c r="BE27" s="67"/>
      <c r="BF27" s="69"/>
      <c r="BG27" s="66"/>
      <c r="BH27" s="66"/>
      <c r="BI27" s="66"/>
      <c r="BJ27" s="66"/>
    </row>
    <row r="28">
      <c r="A28" s="59" t="s">
        <v>850</v>
      </c>
      <c r="B28" s="59" t="s">
        <v>529</v>
      </c>
      <c r="C28" s="60" t="s">
        <v>856</v>
      </c>
      <c r="D28" s="60" t="s">
        <v>759</v>
      </c>
      <c r="E28" s="60" t="s">
        <v>539</v>
      </c>
      <c r="F28" s="61"/>
      <c r="G28" s="62"/>
      <c r="H28" s="63" t="s">
        <v>852</v>
      </c>
      <c r="I28" s="60" t="s">
        <v>748</v>
      </c>
      <c r="J28" s="60" t="s">
        <v>552</v>
      </c>
      <c r="K28" s="61"/>
      <c r="L28" s="62"/>
      <c r="M28" s="63" t="s">
        <v>762</v>
      </c>
      <c r="N28" s="60" t="s">
        <v>777</v>
      </c>
      <c r="O28" s="60" t="s">
        <v>545</v>
      </c>
      <c r="P28" s="61"/>
      <c r="Q28" s="62"/>
      <c r="R28" s="63" t="s">
        <v>816</v>
      </c>
      <c r="S28" s="60" t="s">
        <v>759</v>
      </c>
      <c r="T28" s="60" t="s">
        <v>546</v>
      </c>
      <c r="U28" s="61"/>
      <c r="V28" s="62"/>
      <c r="W28" s="63" t="s">
        <v>799</v>
      </c>
      <c r="X28" s="60" t="s">
        <v>748</v>
      </c>
      <c r="Y28" s="60" t="s">
        <v>551</v>
      </c>
      <c r="Z28" s="61"/>
      <c r="AA28" s="62"/>
      <c r="AB28" s="63" t="s">
        <v>793</v>
      </c>
      <c r="AC28" s="60" t="s">
        <v>748</v>
      </c>
      <c r="AD28" s="60" t="s">
        <v>563</v>
      </c>
      <c r="AE28" s="61"/>
      <c r="AF28" s="62"/>
      <c r="AG28" s="63" t="s">
        <v>818</v>
      </c>
      <c r="AH28" s="60" t="s">
        <v>759</v>
      </c>
      <c r="AI28" s="60" t="s">
        <v>569</v>
      </c>
      <c r="AJ28" s="61"/>
      <c r="AK28" s="62"/>
      <c r="AL28" s="63" t="s">
        <v>833</v>
      </c>
      <c r="AM28" s="60" t="s">
        <v>750</v>
      </c>
      <c r="AN28" s="61"/>
      <c r="AO28" s="61"/>
      <c r="AP28" s="62"/>
      <c r="AQ28" s="64"/>
      <c r="AR28" s="61"/>
      <c r="AS28" s="61"/>
      <c r="AT28" s="61"/>
      <c r="AU28" s="62"/>
      <c r="AV28" s="64"/>
      <c r="AW28" s="61"/>
      <c r="AX28" s="61"/>
      <c r="AY28" s="61"/>
      <c r="AZ28" s="62"/>
      <c r="BA28" s="64"/>
      <c r="BB28" s="61"/>
      <c r="BC28" s="61"/>
      <c r="BD28" s="61"/>
      <c r="BE28" s="62"/>
      <c r="BF28" s="64"/>
      <c r="BG28" s="61"/>
      <c r="BH28" s="61"/>
      <c r="BI28" s="61"/>
      <c r="BJ28" s="61"/>
    </row>
    <row r="29">
      <c r="A29" s="59" t="s">
        <v>850</v>
      </c>
      <c r="B29" s="59" t="s">
        <v>530</v>
      </c>
      <c r="C29" s="65" t="s">
        <v>852</v>
      </c>
      <c r="D29" s="65" t="s">
        <v>748</v>
      </c>
      <c r="E29" s="65" t="s">
        <v>552</v>
      </c>
      <c r="F29" s="66"/>
      <c r="G29" s="67"/>
      <c r="H29" s="68" t="s">
        <v>802</v>
      </c>
      <c r="I29" s="65" t="s">
        <v>777</v>
      </c>
      <c r="J29" s="65" t="s">
        <v>556</v>
      </c>
      <c r="K29" s="66"/>
      <c r="L29" s="67"/>
      <c r="M29" s="68" t="s">
        <v>798</v>
      </c>
      <c r="N29" s="65" t="s">
        <v>748</v>
      </c>
      <c r="O29" s="65" t="s">
        <v>569</v>
      </c>
      <c r="P29" s="66"/>
      <c r="Q29" s="67"/>
      <c r="R29" s="68" t="s">
        <v>804</v>
      </c>
      <c r="S29" s="65" t="s">
        <v>748</v>
      </c>
      <c r="T29" s="65" t="s">
        <v>577</v>
      </c>
      <c r="U29" s="66"/>
      <c r="V29" s="67"/>
      <c r="W29" s="68" t="s">
        <v>817</v>
      </c>
      <c r="X29" s="65" t="s">
        <v>750</v>
      </c>
      <c r="Y29" s="66"/>
      <c r="Z29" s="66"/>
      <c r="AA29" s="67"/>
      <c r="AB29" s="68" t="s">
        <v>753</v>
      </c>
      <c r="AC29" s="65" t="s">
        <v>759</v>
      </c>
      <c r="AD29" s="65" t="s">
        <v>573</v>
      </c>
      <c r="AE29" s="66"/>
      <c r="AF29" s="67"/>
      <c r="AG29" s="69"/>
      <c r="AH29" s="66"/>
      <c r="AI29" s="66"/>
      <c r="AJ29" s="66"/>
      <c r="AK29" s="67"/>
      <c r="AL29" s="69"/>
      <c r="AM29" s="66"/>
      <c r="AN29" s="66"/>
      <c r="AO29" s="66"/>
      <c r="AP29" s="67"/>
      <c r="AQ29" s="69"/>
      <c r="AR29" s="66"/>
      <c r="AS29" s="66"/>
      <c r="AT29" s="66"/>
      <c r="AU29" s="67"/>
      <c r="AV29" s="69"/>
      <c r="AW29" s="66"/>
      <c r="AX29" s="66"/>
      <c r="AY29" s="66"/>
      <c r="AZ29" s="67"/>
      <c r="BA29" s="69"/>
      <c r="BB29" s="66"/>
      <c r="BC29" s="66"/>
      <c r="BD29" s="66"/>
      <c r="BE29" s="67"/>
      <c r="BF29" s="69"/>
      <c r="BG29" s="66"/>
      <c r="BH29" s="66"/>
      <c r="BI29" s="66"/>
      <c r="BJ29" s="66"/>
    </row>
    <row r="30">
      <c r="A30" s="59" t="s">
        <v>857</v>
      </c>
      <c r="B30" s="59" t="s">
        <v>524</v>
      </c>
      <c r="C30" s="60" t="s">
        <v>812</v>
      </c>
      <c r="D30" s="60" t="s">
        <v>748</v>
      </c>
      <c r="E30" s="60" t="s">
        <v>536</v>
      </c>
      <c r="F30" s="61"/>
      <c r="G30" s="62"/>
      <c r="H30" s="63" t="s">
        <v>815</v>
      </c>
      <c r="I30" s="60" t="s">
        <v>748</v>
      </c>
      <c r="J30" s="60" t="s">
        <v>561</v>
      </c>
      <c r="K30" s="61"/>
      <c r="L30" s="62"/>
      <c r="M30" s="63" t="s">
        <v>851</v>
      </c>
      <c r="N30" s="60" t="s">
        <v>777</v>
      </c>
      <c r="O30" s="60" t="s">
        <v>564</v>
      </c>
      <c r="P30" s="61"/>
      <c r="Q30" s="62"/>
      <c r="R30" s="63" t="s">
        <v>824</v>
      </c>
      <c r="S30" s="60" t="s">
        <v>748</v>
      </c>
      <c r="T30" s="60" t="s">
        <v>567</v>
      </c>
      <c r="U30" s="61"/>
      <c r="V30" s="62"/>
      <c r="W30" s="63" t="s">
        <v>844</v>
      </c>
      <c r="X30" s="60" t="s">
        <v>748</v>
      </c>
      <c r="Y30" s="60" t="s">
        <v>542</v>
      </c>
      <c r="Z30" s="61"/>
      <c r="AA30" s="62"/>
      <c r="AB30" s="63" t="s">
        <v>816</v>
      </c>
      <c r="AC30" s="60" t="s">
        <v>777</v>
      </c>
      <c r="AD30" s="60" t="s">
        <v>546</v>
      </c>
      <c r="AE30" s="61"/>
      <c r="AF30" s="62"/>
      <c r="AG30" s="63" t="s">
        <v>854</v>
      </c>
      <c r="AH30" s="60" t="s">
        <v>759</v>
      </c>
      <c r="AI30" s="60" t="s">
        <v>549</v>
      </c>
      <c r="AJ30" s="61"/>
      <c r="AK30" s="62"/>
      <c r="AL30" s="64"/>
      <c r="AM30" s="61"/>
      <c r="AN30" s="61"/>
      <c r="AO30" s="61"/>
      <c r="AP30" s="62"/>
      <c r="AQ30" s="64"/>
      <c r="AR30" s="61"/>
      <c r="AS30" s="61"/>
      <c r="AT30" s="61"/>
      <c r="AU30" s="62"/>
      <c r="AV30" s="64"/>
      <c r="AW30" s="61"/>
      <c r="AX30" s="61"/>
      <c r="AY30" s="61"/>
      <c r="AZ30" s="62"/>
      <c r="BA30" s="64"/>
      <c r="BB30" s="61"/>
      <c r="BC30" s="61"/>
      <c r="BD30" s="61"/>
      <c r="BE30" s="62"/>
      <c r="BF30" s="64"/>
      <c r="BG30" s="61"/>
      <c r="BH30" s="61"/>
      <c r="BI30" s="61"/>
      <c r="BJ30" s="61"/>
    </row>
    <row r="31">
      <c r="A31" s="59" t="s">
        <v>857</v>
      </c>
      <c r="B31" s="59" t="s">
        <v>525</v>
      </c>
      <c r="C31" s="65" t="s">
        <v>823</v>
      </c>
      <c r="D31" s="65" t="s">
        <v>750</v>
      </c>
      <c r="E31" s="66"/>
      <c r="F31" s="66"/>
      <c r="G31" s="67"/>
      <c r="H31" s="68" t="s">
        <v>858</v>
      </c>
      <c r="I31" s="65" t="s">
        <v>750</v>
      </c>
      <c r="J31" s="66"/>
      <c r="K31" s="66"/>
      <c r="L31" s="67"/>
      <c r="M31" s="68" t="s">
        <v>853</v>
      </c>
      <c r="N31" s="65" t="s">
        <v>748</v>
      </c>
      <c r="O31" s="65" t="s">
        <v>572</v>
      </c>
      <c r="P31" s="66"/>
      <c r="Q31" s="67"/>
      <c r="R31" s="68" t="s">
        <v>834</v>
      </c>
      <c r="S31" s="65" t="s">
        <v>748</v>
      </c>
      <c r="T31" s="65" t="s">
        <v>578</v>
      </c>
      <c r="U31" s="66"/>
      <c r="V31" s="67"/>
      <c r="W31" s="69"/>
      <c r="X31" s="66"/>
      <c r="Y31" s="66"/>
      <c r="Z31" s="66"/>
      <c r="AA31" s="67"/>
      <c r="AB31" s="69"/>
      <c r="AC31" s="66"/>
      <c r="AD31" s="66"/>
      <c r="AE31" s="66"/>
      <c r="AF31" s="67"/>
      <c r="AG31" s="69"/>
      <c r="AH31" s="66"/>
      <c r="AI31" s="66"/>
      <c r="AJ31" s="66"/>
      <c r="AK31" s="67"/>
      <c r="AL31" s="69"/>
      <c r="AM31" s="66"/>
      <c r="AN31" s="66"/>
      <c r="AO31" s="66"/>
      <c r="AP31" s="67"/>
      <c r="AQ31" s="69"/>
      <c r="AR31" s="66"/>
      <c r="AS31" s="66"/>
      <c r="AT31" s="66"/>
      <c r="AU31" s="67"/>
      <c r="AV31" s="69"/>
      <c r="AW31" s="66"/>
      <c r="AX31" s="66"/>
      <c r="AY31" s="66"/>
      <c r="AZ31" s="67"/>
      <c r="BA31" s="69"/>
      <c r="BB31" s="66"/>
      <c r="BC31" s="66"/>
      <c r="BD31" s="66"/>
      <c r="BE31" s="67"/>
      <c r="BF31" s="69"/>
      <c r="BG31" s="66"/>
      <c r="BH31" s="66"/>
      <c r="BI31" s="66"/>
      <c r="BJ31" s="66"/>
    </row>
    <row r="32">
      <c r="A32" s="59" t="s">
        <v>857</v>
      </c>
      <c r="B32" s="59" t="s">
        <v>526</v>
      </c>
      <c r="C32" s="60" t="s">
        <v>781</v>
      </c>
      <c r="D32" s="60" t="s">
        <v>777</v>
      </c>
      <c r="E32" s="60" t="s">
        <v>571</v>
      </c>
      <c r="F32" s="61"/>
      <c r="G32" s="62"/>
      <c r="H32" s="63" t="s">
        <v>782</v>
      </c>
      <c r="I32" s="60" t="s">
        <v>748</v>
      </c>
      <c r="J32" s="60" t="s">
        <v>572</v>
      </c>
      <c r="K32" s="61"/>
      <c r="L32" s="62"/>
      <c r="M32" s="63" t="s">
        <v>858</v>
      </c>
      <c r="N32" s="60" t="s">
        <v>748</v>
      </c>
      <c r="O32" s="60" t="s">
        <v>555</v>
      </c>
      <c r="P32" s="61"/>
      <c r="Q32" s="62"/>
      <c r="R32" s="63" t="s">
        <v>845</v>
      </c>
      <c r="S32" s="60" t="s">
        <v>759</v>
      </c>
      <c r="T32" s="60" t="s">
        <v>560</v>
      </c>
      <c r="U32" s="61"/>
      <c r="V32" s="62"/>
      <c r="W32" s="63" t="s">
        <v>810</v>
      </c>
      <c r="X32" s="60" t="s">
        <v>759</v>
      </c>
      <c r="Y32" s="60" t="s">
        <v>570</v>
      </c>
      <c r="Z32" s="61"/>
      <c r="AA32" s="62"/>
      <c r="AB32" s="63" t="s">
        <v>766</v>
      </c>
      <c r="AC32" s="60" t="s">
        <v>748</v>
      </c>
      <c r="AD32" s="60" t="s">
        <v>579</v>
      </c>
      <c r="AE32" s="61"/>
      <c r="AF32" s="62"/>
      <c r="AG32" s="64"/>
      <c r="AH32" s="61"/>
      <c r="AI32" s="61"/>
      <c r="AJ32" s="61"/>
      <c r="AK32" s="62"/>
      <c r="AL32" s="64"/>
      <c r="AM32" s="61"/>
      <c r="AN32" s="61"/>
      <c r="AO32" s="61"/>
      <c r="AP32" s="62"/>
      <c r="AQ32" s="64"/>
      <c r="AR32" s="61"/>
      <c r="AS32" s="61"/>
      <c r="AT32" s="61"/>
      <c r="AU32" s="62"/>
      <c r="AV32" s="64"/>
      <c r="AW32" s="61"/>
      <c r="AX32" s="61"/>
      <c r="AY32" s="61"/>
      <c r="AZ32" s="62"/>
      <c r="BA32" s="64"/>
      <c r="BB32" s="61"/>
      <c r="BC32" s="61"/>
      <c r="BD32" s="61"/>
      <c r="BE32" s="62"/>
      <c r="BF32" s="64"/>
      <c r="BG32" s="61"/>
      <c r="BH32" s="61"/>
      <c r="BI32" s="61"/>
      <c r="BJ32" s="61"/>
    </row>
    <row r="33">
      <c r="A33" s="59" t="s">
        <v>857</v>
      </c>
      <c r="B33" s="59" t="s">
        <v>527</v>
      </c>
      <c r="C33" s="65" t="s">
        <v>841</v>
      </c>
      <c r="D33" s="65" t="s">
        <v>759</v>
      </c>
      <c r="E33" s="65" t="s">
        <v>540</v>
      </c>
      <c r="F33" s="66"/>
      <c r="G33" s="67"/>
      <c r="H33" s="68" t="s">
        <v>842</v>
      </c>
      <c r="I33" s="65" t="s">
        <v>748</v>
      </c>
      <c r="J33" s="65" t="s">
        <v>553</v>
      </c>
      <c r="K33" s="66"/>
      <c r="L33" s="67"/>
      <c r="M33" s="68" t="s">
        <v>771</v>
      </c>
      <c r="N33" s="65" t="s">
        <v>777</v>
      </c>
      <c r="O33" s="65" t="s">
        <v>570</v>
      </c>
      <c r="P33" s="66"/>
      <c r="Q33" s="67"/>
      <c r="R33" s="68" t="s">
        <v>784</v>
      </c>
      <c r="S33" s="65" t="s">
        <v>748</v>
      </c>
      <c r="T33" s="65" t="s">
        <v>534</v>
      </c>
      <c r="U33" s="66"/>
      <c r="V33" s="67"/>
      <c r="W33" s="68" t="s">
        <v>825</v>
      </c>
      <c r="X33" s="65" t="s">
        <v>748</v>
      </c>
      <c r="Y33" s="65" t="s">
        <v>537</v>
      </c>
      <c r="Z33" s="66"/>
      <c r="AA33" s="67"/>
      <c r="AB33" s="69"/>
      <c r="AC33" s="66"/>
      <c r="AD33" s="66"/>
      <c r="AE33" s="66"/>
      <c r="AF33" s="67"/>
      <c r="AG33" s="69"/>
      <c r="AH33" s="66"/>
      <c r="AI33" s="66"/>
      <c r="AJ33" s="66"/>
      <c r="AK33" s="67"/>
      <c r="AL33" s="69"/>
      <c r="AM33" s="66"/>
      <c r="AN33" s="66"/>
      <c r="AO33" s="66"/>
      <c r="AP33" s="67"/>
      <c r="AQ33" s="69"/>
      <c r="AR33" s="66"/>
      <c r="AS33" s="66"/>
      <c r="AT33" s="66"/>
      <c r="AU33" s="67"/>
      <c r="AV33" s="69"/>
      <c r="AW33" s="66"/>
      <c r="AX33" s="66"/>
      <c r="AY33" s="66"/>
      <c r="AZ33" s="67"/>
      <c r="BA33" s="69"/>
      <c r="BB33" s="66"/>
      <c r="BC33" s="66"/>
      <c r="BD33" s="66"/>
      <c r="BE33" s="67"/>
      <c r="BF33" s="69"/>
      <c r="BG33" s="66"/>
      <c r="BH33" s="66"/>
      <c r="BI33" s="66"/>
      <c r="BJ33" s="66"/>
    </row>
    <row r="34">
      <c r="A34" s="59" t="s">
        <v>857</v>
      </c>
      <c r="B34" s="59" t="s">
        <v>528</v>
      </c>
      <c r="C34" s="60" t="s">
        <v>846</v>
      </c>
      <c r="D34" s="60" t="s">
        <v>748</v>
      </c>
      <c r="E34" s="60" t="s">
        <v>534</v>
      </c>
      <c r="F34" s="61"/>
      <c r="G34" s="62"/>
      <c r="H34" s="63" t="s">
        <v>820</v>
      </c>
      <c r="I34" s="60" t="s">
        <v>759</v>
      </c>
      <c r="J34" s="60" t="s">
        <v>538</v>
      </c>
      <c r="K34" s="61"/>
      <c r="L34" s="62"/>
      <c r="M34" s="63" t="s">
        <v>786</v>
      </c>
      <c r="N34" s="60" t="s">
        <v>777</v>
      </c>
      <c r="O34" s="60" t="s">
        <v>549</v>
      </c>
      <c r="P34" s="61"/>
      <c r="Q34" s="62"/>
      <c r="R34" s="63" t="s">
        <v>802</v>
      </c>
      <c r="S34" s="60" t="s">
        <v>748</v>
      </c>
      <c r="T34" s="60" t="s">
        <v>556</v>
      </c>
      <c r="U34" s="61"/>
      <c r="V34" s="62"/>
      <c r="W34" s="63" t="s">
        <v>832</v>
      </c>
      <c r="X34" s="60" t="s">
        <v>748</v>
      </c>
      <c r="Y34" s="60" t="s">
        <v>517</v>
      </c>
      <c r="Z34" s="61"/>
      <c r="AA34" s="62"/>
      <c r="AB34" s="63" t="s">
        <v>847</v>
      </c>
      <c r="AC34" s="60" t="s">
        <v>748</v>
      </c>
      <c r="AD34" s="60" t="s">
        <v>565</v>
      </c>
      <c r="AE34" s="61"/>
      <c r="AF34" s="62"/>
      <c r="AG34" s="63" t="s">
        <v>835</v>
      </c>
      <c r="AH34" s="60" t="s">
        <v>759</v>
      </c>
      <c r="AI34" s="60" t="s">
        <v>533</v>
      </c>
      <c r="AJ34" s="61"/>
      <c r="AK34" s="62"/>
      <c r="AL34" s="64"/>
      <c r="AM34" s="61"/>
      <c r="AN34" s="61"/>
      <c r="AO34" s="61"/>
      <c r="AP34" s="62"/>
      <c r="AQ34" s="64"/>
      <c r="AR34" s="61"/>
      <c r="AS34" s="61"/>
      <c r="AT34" s="61"/>
      <c r="AU34" s="62"/>
      <c r="AV34" s="64"/>
      <c r="AW34" s="61"/>
      <c r="AX34" s="61"/>
      <c r="AY34" s="61"/>
      <c r="AZ34" s="62"/>
      <c r="BA34" s="64"/>
      <c r="BB34" s="61"/>
      <c r="BC34" s="61"/>
      <c r="BD34" s="61"/>
      <c r="BE34" s="62"/>
      <c r="BF34" s="64"/>
      <c r="BG34" s="61"/>
      <c r="BH34" s="61"/>
      <c r="BI34" s="61"/>
      <c r="BJ34" s="61"/>
    </row>
    <row r="35">
      <c r="A35" s="59" t="s">
        <v>857</v>
      </c>
      <c r="B35" s="59" t="s">
        <v>529</v>
      </c>
      <c r="C35" s="65" t="s">
        <v>774</v>
      </c>
      <c r="D35" s="65" t="s">
        <v>750</v>
      </c>
      <c r="E35" s="66"/>
      <c r="F35" s="66"/>
      <c r="G35" s="67"/>
      <c r="H35" s="68" t="s">
        <v>856</v>
      </c>
      <c r="I35" s="65" t="s">
        <v>759</v>
      </c>
      <c r="J35" s="65" t="s">
        <v>539</v>
      </c>
      <c r="K35" s="66"/>
      <c r="L35" s="67"/>
      <c r="M35" s="68" t="s">
        <v>756</v>
      </c>
      <c r="N35" s="65" t="s">
        <v>748</v>
      </c>
      <c r="O35" s="65" t="s">
        <v>565</v>
      </c>
      <c r="P35" s="66"/>
      <c r="Q35" s="67"/>
      <c r="R35" s="68" t="s">
        <v>837</v>
      </c>
      <c r="S35" s="65" t="s">
        <v>759</v>
      </c>
      <c r="T35" s="65" t="s">
        <v>578</v>
      </c>
      <c r="U35" s="66"/>
      <c r="V35" s="67"/>
      <c r="W35" s="68" t="s">
        <v>843</v>
      </c>
      <c r="X35" s="65" t="s">
        <v>748</v>
      </c>
      <c r="Y35" s="65" t="s">
        <v>579</v>
      </c>
      <c r="Z35" s="66"/>
      <c r="AA35" s="67"/>
      <c r="AB35" s="68" t="s">
        <v>855</v>
      </c>
      <c r="AC35" s="65" t="s">
        <v>748</v>
      </c>
      <c r="AD35" s="65" t="s">
        <v>558</v>
      </c>
      <c r="AE35" s="66"/>
      <c r="AF35" s="67"/>
      <c r="AG35" s="68" t="s">
        <v>792</v>
      </c>
      <c r="AH35" s="65" t="s">
        <v>748</v>
      </c>
      <c r="AI35" s="65" t="s">
        <v>561</v>
      </c>
      <c r="AJ35" s="66"/>
      <c r="AK35" s="67"/>
      <c r="AL35" s="69"/>
      <c r="AM35" s="66"/>
      <c r="AN35" s="66"/>
      <c r="AO35" s="66"/>
      <c r="AP35" s="67"/>
      <c r="AQ35" s="69"/>
      <c r="AR35" s="66"/>
      <c r="AS35" s="66"/>
      <c r="AT35" s="66"/>
      <c r="AU35" s="67"/>
      <c r="AV35" s="69"/>
      <c r="AW35" s="66"/>
      <c r="AX35" s="66"/>
      <c r="AY35" s="66"/>
      <c r="AZ35" s="67"/>
      <c r="BA35" s="69"/>
      <c r="BB35" s="66"/>
      <c r="BC35" s="66"/>
      <c r="BD35" s="66"/>
      <c r="BE35" s="67"/>
      <c r="BF35" s="69"/>
      <c r="BG35" s="66"/>
      <c r="BH35" s="66"/>
      <c r="BI35" s="66"/>
      <c r="BJ35" s="66"/>
    </row>
    <row r="36">
      <c r="A36" s="59" t="s">
        <v>857</v>
      </c>
      <c r="B36" s="59" t="s">
        <v>530</v>
      </c>
      <c r="C36" s="60" t="s">
        <v>754</v>
      </c>
      <c r="D36" s="60" t="s">
        <v>759</v>
      </c>
      <c r="E36" s="60" t="s">
        <v>534</v>
      </c>
      <c r="F36" s="61"/>
      <c r="G36" s="62"/>
      <c r="H36" s="63" t="s">
        <v>751</v>
      </c>
      <c r="I36" s="60" t="s">
        <v>748</v>
      </c>
      <c r="J36" s="60" t="s">
        <v>539</v>
      </c>
      <c r="K36" s="61"/>
      <c r="L36" s="62"/>
      <c r="M36" s="63" t="s">
        <v>799</v>
      </c>
      <c r="N36" s="60" t="s">
        <v>748</v>
      </c>
      <c r="O36" s="60" t="s">
        <v>551</v>
      </c>
      <c r="P36" s="61"/>
      <c r="Q36" s="62"/>
      <c r="R36" s="63" t="s">
        <v>817</v>
      </c>
      <c r="S36" s="60" t="s">
        <v>748</v>
      </c>
      <c r="T36" s="60" t="s">
        <v>553</v>
      </c>
      <c r="U36" s="61"/>
      <c r="V36" s="62"/>
      <c r="W36" s="64"/>
      <c r="X36" s="61"/>
      <c r="Y36" s="61"/>
      <c r="Z36" s="61"/>
      <c r="AA36" s="62"/>
      <c r="AB36" s="64"/>
      <c r="AC36" s="61"/>
      <c r="AD36" s="61"/>
      <c r="AE36" s="61"/>
      <c r="AF36" s="62"/>
      <c r="AG36" s="64"/>
      <c r="AH36" s="61"/>
      <c r="AI36" s="61"/>
      <c r="AJ36" s="61"/>
      <c r="AK36" s="62"/>
      <c r="AL36" s="64"/>
      <c r="AM36" s="61"/>
      <c r="AN36" s="61"/>
      <c r="AO36" s="61"/>
      <c r="AP36" s="62"/>
      <c r="AQ36" s="64"/>
      <c r="AR36" s="61"/>
      <c r="AS36" s="61"/>
      <c r="AT36" s="61"/>
      <c r="AU36" s="62"/>
      <c r="AV36" s="64"/>
      <c r="AW36" s="61"/>
      <c r="AX36" s="61"/>
      <c r="AY36" s="61"/>
      <c r="AZ36" s="62"/>
      <c r="BA36" s="64"/>
      <c r="BB36" s="61"/>
      <c r="BC36" s="61"/>
      <c r="BD36" s="61"/>
      <c r="BE36" s="62"/>
      <c r="BF36" s="64"/>
      <c r="BG36" s="61"/>
      <c r="BH36" s="61"/>
      <c r="BI36" s="61"/>
      <c r="BJ36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0.13"/>
    <col customWidth="1" min="3" max="3" width="10.75"/>
    <col customWidth="1" min="4" max="4" width="42.63"/>
    <col customWidth="1" min="5" max="5" width="35.13"/>
    <col customWidth="1" min="6" max="6" width="52.63"/>
  </cols>
  <sheetData>
    <row r="1">
      <c r="A1" s="70" t="s">
        <v>859</v>
      </c>
      <c r="B1" s="70" t="s">
        <v>9</v>
      </c>
      <c r="C1" s="70" t="s">
        <v>5</v>
      </c>
      <c r="D1" s="70" t="s">
        <v>860</v>
      </c>
      <c r="E1" s="70" t="s">
        <v>743</v>
      </c>
      <c r="F1" s="70" t="s">
        <v>861</v>
      </c>
    </row>
    <row r="2">
      <c r="A2" s="71" t="s">
        <v>846</v>
      </c>
      <c r="B2" s="71" t="s">
        <v>862</v>
      </c>
      <c r="C2" s="71" t="s">
        <v>863</v>
      </c>
      <c r="D2" s="71" t="s">
        <v>864</v>
      </c>
      <c r="E2" s="71" t="s">
        <v>865</v>
      </c>
      <c r="F2" s="71" t="s">
        <v>866</v>
      </c>
    </row>
    <row r="3">
      <c r="A3" s="72" t="s">
        <v>794</v>
      </c>
      <c r="B3" s="72" t="s">
        <v>862</v>
      </c>
      <c r="C3" s="72" t="s">
        <v>863</v>
      </c>
      <c r="D3" s="72" t="s">
        <v>864</v>
      </c>
      <c r="E3" s="72" t="s">
        <v>867</v>
      </c>
      <c r="F3" s="72" t="s">
        <v>868</v>
      </c>
    </row>
    <row r="4">
      <c r="A4" s="71" t="s">
        <v>820</v>
      </c>
      <c r="B4" s="71" t="s">
        <v>869</v>
      </c>
      <c r="C4" s="71" t="s">
        <v>863</v>
      </c>
      <c r="D4" s="71" t="s">
        <v>870</v>
      </c>
      <c r="E4" s="71" t="s">
        <v>871</v>
      </c>
      <c r="F4" s="71" t="s">
        <v>872</v>
      </c>
    </row>
    <row r="5">
      <c r="A5" s="72" t="s">
        <v>767</v>
      </c>
      <c r="B5" s="72" t="s">
        <v>869</v>
      </c>
      <c r="C5" s="72" t="s">
        <v>863</v>
      </c>
      <c r="D5" s="72" t="s">
        <v>870</v>
      </c>
      <c r="E5" s="72" t="s">
        <v>873</v>
      </c>
      <c r="F5" s="72" t="s">
        <v>874</v>
      </c>
    </row>
    <row r="6">
      <c r="A6" s="71" t="s">
        <v>754</v>
      </c>
      <c r="B6" s="71" t="s">
        <v>875</v>
      </c>
      <c r="C6" s="71" t="s">
        <v>863</v>
      </c>
      <c r="D6" s="71" t="s">
        <v>876</v>
      </c>
      <c r="E6" s="71" t="s">
        <v>877</v>
      </c>
      <c r="F6" s="71" t="s">
        <v>878</v>
      </c>
    </row>
    <row r="7">
      <c r="A7" s="72" t="s">
        <v>774</v>
      </c>
      <c r="B7" s="72" t="s">
        <v>862</v>
      </c>
      <c r="C7" s="72" t="s">
        <v>863</v>
      </c>
      <c r="D7" s="72" t="s">
        <v>879</v>
      </c>
      <c r="E7" s="72" t="s">
        <v>880</v>
      </c>
      <c r="F7" s="72" t="s">
        <v>881</v>
      </c>
    </row>
    <row r="8">
      <c r="A8" s="71" t="s">
        <v>812</v>
      </c>
      <c r="B8" s="71" t="s">
        <v>882</v>
      </c>
      <c r="C8" s="71" t="s">
        <v>863</v>
      </c>
      <c r="D8" s="71" t="s">
        <v>883</v>
      </c>
      <c r="E8" s="71" t="s">
        <v>536</v>
      </c>
      <c r="F8" s="71" t="s">
        <v>884</v>
      </c>
    </row>
    <row r="9">
      <c r="A9" s="72" t="s">
        <v>801</v>
      </c>
      <c r="B9" s="72" t="s">
        <v>885</v>
      </c>
      <c r="C9" s="72" t="s">
        <v>863</v>
      </c>
      <c r="D9" s="72" t="s">
        <v>886</v>
      </c>
      <c r="E9" s="72" t="s">
        <v>537</v>
      </c>
      <c r="F9" s="72" t="s">
        <v>887</v>
      </c>
    </row>
    <row r="10">
      <c r="A10" s="71" t="s">
        <v>768</v>
      </c>
      <c r="B10" s="71" t="s">
        <v>885</v>
      </c>
      <c r="C10" s="71" t="s">
        <v>863</v>
      </c>
      <c r="D10" s="71" t="s">
        <v>886</v>
      </c>
      <c r="E10" s="71" t="s">
        <v>538</v>
      </c>
      <c r="F10" s="71" t="s">
        <v>888</v>
      </c>
    </row>
    <row r="11">
      <c r="A11" s="72" t="s">
        <v>856</v>
      </c>
      <c r="B11" s="72" t="s">
        <v>889</v>
      </c>
      <c r="C11" s="72" t="s">
        <v>863</v>
      </c>
      <c r="D11" s="72" t="s">
        <v>890</v>
      </c>
      <c r="E11" s="72" t="s">
        <v>539</v>
      </c>
      <c r="F11" s="72" t="s">
        <v>891</v>
      </c>
    </row>
    <row r="12">
      <c r="A12" s="71" t="s">
        <v>841</v>
      </c>
      <c r="B12" s="71" t="s">
        <v>889</v>
      </c>
      <c r="C12" s="71" t="s">
        <v>863</v>
      </c>
      <c r="D12" s="71" t="s">
        <v>890</v>
      </c>
      <c r="E12" s="71" t="s">
        <v>540</v>
      </c>
      <c r="F12" s="71" t="s">
        <v>892</v>
      </c>
    </row>
    <row r="13">
      <c r="A13" s="72" t="s">
        <v>831</v>
      </c>
      <c r="B13" s="72" t="s">
        <v>893</v>
      </c>
      <c r="C13" s="72" t="s">
        <v>863</v>
      </c>
      <c r="D13" s="72" t="s">
        <v>894</v>
      </c>
      <c r="E13" s="72" t="s">
        <v>541</v>
      </c>
      <c r="F13" s="72" t="s">
        <v>895</v>
      </c>
    </row>
    <row r="14">
      <c r="A14" s="71" t="s">
        <v>775</v>
      </c>
      <c r="B14" s="71" t="s">
        <v>893</v>
      </c>
      <c r="C14" s="71" t="s">
        <v>863</v>
      </c>
      <c r="D14" s="71" t="s">
        <v>894</v>
      </c>
      <c r="E14" s="71" t="s">
        <v>542</v>
      </c>
      <c r="F14" s="71" t="s">
        <v>896</v>
      </c>
    </row>
    <row r="15">
      <c r="A15" s="72" t="s">
        <v>795</v>
      </c>
      <c r="B15" s="72" t="s">
        <v>897</v>
      </c>
      <c r="C15" s="72" t="s">
        <v>863</v>
      </c>
      <c r="D15" s="72" t="s">
        <v>898</v>
      </c>
      <c r="E15" s="72" t="s">
        <v>543</v>
      </c>
      <c r="F15" s="72" t="s">
        <v>899</v>
      </c>
    </row>
    <row r="16">
      <c r="A16" s="71" t="s">
        <v>796</v>
      </c>
      <c r="B16" s="71" t="s">
        <v>900</v>
      </c>
      <c r="C16" s="71" t="s">
        <v>863</v>
      </c>
      <c r="D16" s="71" t="s">
        <v>901</v>
      </c>
      <c r="E16" s="71" t="s">
        <v>544</v>
      </c>
      <c r="F16" s="71" t="s">
        <v>902</v>
      </c>
    </row>
    <row r="17">
      <c r="A17" s="72" t="s">
        <v>776</v>
      </c>
      <c r="B17" s="72" t="s">
        <v>869</v>
      </c>
      <c r="C17" s="72" t="s">
        <v>863</v>
      </c>
      <c r="D17" s="72" t="s">
        <v>903</v>
      </c>
      <c r="E17" s="72" t="s">
        <v>545</v>
      </c>
      <c r="F17" s="72" t="s">
        <v>904</v>
      </c>
    </row>
    <row r="18">
      <c r="A18" s="71" t="s">
        <v>821</v>
      </c>
      <c r="B18" s="71" t="s">
        <v>869</v>
      </c>
      <c r="C18" s="71" t="s">
        <v>863</v>
      </c>
      <c r="D18" s="71" t="s">
        <v>903</v>
      </c>
      <c r="E18" s="71" t="s">
        <v>546</v>
      </c>
      <c r="F18" s="71" t="s">
        <v>905</v>
      </c>
    </row>
    <row r="19">
      <c r="A19" s="72" t="s">
        <v>778</v>
      </c>
      <c r="B19" s="72" t="s">
        <v>900</v>
      </c>
      <c r="C19" s="72" t="s">
        <v>863</v>
      </c>
      <c r="D19" s="72" t="s">
        <v>906</v>
      </c>
      <c r="E19" s="72" t="s">
        <v>547</v>
      </c>
      <c r="F19" s="72" t="s">
        <v>907</v>
      </c>
    </row>
    <row r="20">
      <c r="A20" s="71" t="s">
        <v>769</v>
      </c>
      <c r="B20" s="71" t="s">
        <v>900</v>
      </c>
      <c r="C20" s="71" t="s">
        <v>863</v>
      </c>
      <c r="D20" s="71" t="s">
        <v>906</v>
      </c>
      <c r="E20" s="71" t="s">
        <v>548</v>
      </c>
      <c r="F20" s="71" t="s">
        <v>908</v>
      </c>
    </row>
    <row r="21">
      <c r="A21" s="72" t="s">
        <v>786</v>
      </c>
      <c r="B21" s="72" t="s">
        <v>897</v>
      </c>
      <c r="C21" s="72" t="s">
        <v>863</v>
      </c>
      <c r="D21" s="72" t="s">
        <v>909</v>
      </c>
      <c r="E21" s="72" t="s">
        <v>549</v>
      </c>
      <c r="F21" s="72" t="s">
        <v>910</v>
      </c>
    </row>
    <row r="22">
      <c r="A22" s="71" t="s">
        <v>779</v>
      </c>
      <c r="B22" s="71" t="s">
        <v>897</v>
      </c>
      <c r="C22" s="71" t="s">
        <v>863</v>
      </c>
      <c r="D22" s="71" t="s">
        <v>909</v>
      </c>
      <c r="E22" s="71" t="s">
        <v>550</v>
      </c>
      <c r="F22" s="71" t="s">
        <v>911</v>
      </c>
    </row>
    <row r="23">
      <c r="A23" s="72" t="s">
        <v>848</v>
      </c>
      <c r="B23" s="72" t="s">
        <v>900</v>
      </c>
      <c r="C23" s="72" t="s">
        <v>863</v>
      </c>
      <c r="D23" s="72" t="s">
        <v>912</v>
      </c>
      <c r="E23" s="72" t="s">
        <v>551</v>
      </c>
      <c r="F23" s="72" t="s">
        <v>913</v>
      </c>
    </row>
    <row r="24">
      <c r="A24" s="71" t="s">
        <v>852</v>
      </c>
      <c r="B24" s="71" t="s">
        <v>914</v>
      </c>
      <c r="C24" s="71" t="s">
        <v>863</v>
      </c>
      <c r="D24" s="71" t="s">
        <v>915</v>
      </c>
      <c r="E24" s="71" t="s">
        <v>552</v>
      </c>
      <c r="F24" s="71" t="s">
        <v>916</v>
      </c>
    </row>
    <row r="25">
      <c r="A25" s="72" t="s">
        <v>842</v>
      </c>
      <c r="B25" s="72" t="s">
        <v>889</v>
      </c>
      <c r="C25" s="72" t="s">
        <v>863</v>
      </c>
      <c r="D25" s="72" t="s">
        <v>917</v>
      </c>
      <c r="E25" s="72" t="s">
        <v>553</v>
      </c>
      <c r="F25" s="72" t="s">
        <v>918</v>
      </c>
    </row>
    <row r="26">
      <c r="A26" s="71" t="s">
        <v>780</v>
      </c>
      <c r="B26" s="71" t="s">
        <v>919</v>
      </c>
      <c r="C26" s="71" t="s">
        <v>863</v>
      </c>
      <c r="D26" s="71" t="s">
        <v>920</v>
      </c>
      <c r="E26" s="71" t="s">
        <v>554</v>
      </c>
      <c r="F26" s="71" t="s">
        <v>921</v>
      </c>
    </row>
    <row r="27">
      <c r="A27" s="72" t="s">
        <v>770</v>
      </c>
      <c r="B27" s="72" t="s">
        <v>897</v>
      </c>
      <c r="C27" s="72" t="s">
        <v>863</v>
      </c>
      <c r="D27" s="72" t="s">
        <v>922</v>
      </c>
      <c r="E27" s="72" t="s">
        <v>555</v>
      </c>
      <c r="F27" s="72" t="s">
        <v>923</v>
      </c>
    </row>
    <row r="28">
      <c r="A28" s="71" t="s">
        <v>802</v>
      </c>
      <c r="B28" s="71" t="s">
        <v>882</v>
      </c>
      <c r="C28" s="71" t="s">
        <v>863</v>
      </c>
      <c r="D28" s="71" t="s">
        <v>924</v>
      </c>
      <c r="E28" s="71" t="s">
        <v>556</v>
      </c>
      <c r="F28" s="71" t="s">
        <v>925</v>
      </c>
    </row>
    <row r="29">
      <c r="A29" s="72" t="s">
        <v>803</v>
      </c>
      <c r="B29" s="72" t="s">
        <v>882</v>
      </c>
      <c r="C29" s="72" t="s">
        <v>863</v>
      </c>
      <c r="D29" s="72" t="s">
        <v>924</v>
      </c>
      <c r="E29" s="72" t="s">
        <v>557</v>
      </c>
      <c r="F29" s="72" t="s">
        <v>926</v>
      </c>
    </row>
    <row r="30">
      <c r="A30" s="71" t="s">
        <v>747</v>
      </c>
      <c r="B30" s="71" t="s">
        <v>927</v>
      </c>
      <c r="C30" s="71" t="s">
        <v>863</v>
      </c>
      <c r="D30" s="71" t="s">
        <v>928</v>
      </c>
      <c r="E30" s="71" t="s">
        <v>558</v>
      </c>
      <c r="F30" s="71" t="s">
        <v>929</v>
      </c>
    </row>
    <row r="31">
      <c r="A31" s="72" t="s">
        <v>822</v>
      </c>
      <c r="B31" s="72" t="s">
        <v>927</v>
      </c>
      <c r="C31" s="72" t="s">
        <v>863</v>
      </c>
      <c r="D31" s="72" t="s">
        <v>928</v>
      </c>
      <c r="E31" s="72" t="s">
        <v>559</v>
      </c>
      <c r="F31" s="72" t="s">
        <v>930</v>
      </c>
    </row>
    <row r="32">
      <c r="A32" s="71" t="s">
        <v>823</v>
      </c>
      <c r="B32" s="71" t="s">
        <v>885</v>
      </c>
      <c r="C32" s="71" t="s">
        <v>863</v>
      </c>
      <c r="D32" s="71" t="s">
        <v>931</v>
      </c>
      <c r="E32" s="71" t="s">
        <v>560</v>
      </c>
      <c r="F32" s="71" t="s">
        <v>932</v>
      </c>
    </row>
    <row r="33">
      <c r="A33" s="72" t="s">
        <v>815</v>
      </c>
      <c r="B33" s="72" t="s">
        <v>885</v>
      </c>
      <c r="C33" s="72" t="s">
        <v>863</v>
      </c>
      <c r="D33" s="72" t="s">
        <v>933</v>
      </c>
      <c r="E33" s="72" t="s">
        <v>561</v>
      </c>
      <c r="F33" s="72" t="s">
        <v>934</v>
      </c>
    </row>
    <row r="34">
      <c r="A34" s="71" t="s">
        <v>755</v>
      </c>
      <c r="B34" s="71" t="s">
        <v>885</v>
      </c>
      <c r="C34" s="71" t="s">
        <v>863</v>
      </c>
      <c r="D34" s="71" t="s">
        <v>933</v>
      </c>
      <c r="E34" s="71" t="s">
        <v>562</v>
      </c>
      <c r="F34" s="71" t="s">
        <v>935</v>
      </c>
    </row>
    <row r="35">
      <c r="A35" s="72" t="s">
        <v>827</v>
      </c>
      <c r="B35" s="72" t="s">
        <v>936</v>
      </c>
      <c r="C35" s="72" t="s">
        <v>863</v>
      </c>
      <c r="D35" s="72" t="s">
        <v>937</v>
      </c>
      <c r="E35" s="72" t="s">
        <v>563</v>
      </c>
      <c r="F35" s="72" t="s">
        <v>938</v>
      </c>
    </row>
    <row r="36">
      <c r="A36" s="71" t="s">
        <v>851</v>
      </c>
      <c r="B36" s="71" t="s">
        <v>936</v>
      </c>
      <c r="C36" s="71" t="s">
        <v>863</v>
      </c>
      <c r="D36" s="71" t="s">
        <v>937</v>
      </c>
      <c r="E36" s="71" t="s">
        <v>564</v>
      </c>
      <c r="F36" s="71" t="s">
        <v>939</v>
      </c>
    </row>
    <row r="37">
      <c r="A37" s="72" t="s">
        <v>756</v>
      </c>
      <c r="B37" s="72" t="s">
        <v>882</v>
      </c>
      <c r="C37" s="72" t="s">
        <v>863</v>
      </c>
      <c r="D37" s="72" t="s">
        <v>940</v>
      </c>
      <c r="E37" s="72" t="s">
        <v>565</v>
      </c>
      <c r="F37" s="72" t="s">
        <v>941</v>
      </c>
    </row>
    <row r="38">
      <c r="A38" s="71" t="s">
        <v>797</v>
      </c>
      <c r="B38" s="71" t="s">
        <v>882</v>
      </c>
      <c r="C38" s="71" t="s">
        <v>863</v>
      </c>
      <c r="D38" s="71" t="s">
        <v>940</v>
      </c>
      <c r="E38" s="71" t="s">
        <v>566</v>
      </c>
      <c r="F38" s="71" t="s">
        <v>942</v>
      </c>
    </row>
    <row r="39">
      <c r="A39" s="72" t="s">
        <v>824</v>
      </c>
      <c r="B39" s="72" t="s">
        <v>936</v>
      </c>
      <c r="C39" s="72" t="s">
        <v>863</v>
      </c>
      <c r="D39" s="72" t="s">
        <v>943</v>
      </c>
      <c r="E39" s="72" t="s">
        <v>567</v>
      </c>
      <c r="F39" s="72" t="s">
        <v>944</v>
      </c>
    </row>
    <row r="40">
      <c r="A40" s="71" t="s">
        <v>828</v>
      </c>
      <c r="B40" s="71" t="s">
        <v>936</v>
      </c>
      <c r="C40" s="71" t="s">
        <v>863</v>
      </c>
      <c r="D40" s="71" t="s">
        <v>943</v>
      </c>
      <c r="E40" s="71" t="s">
        <v>568</v>
      </c>
      <c r="F40" s="71" t="s">
        <v>945</v>
      </c>
    </row>
    <row r="41">
      <c r="A41" s="72" t="s">
        <v>798</v>
      </c>
      <c r="B41" s="72" t="s">
        <v>875</v>
      </c>
      <c r="C41" s="72" t="s">
        <v>863</v>
      </c>
      <c r="D41" s="72" t="s">
        <v>946</v>
      </c>
      <c r="E41" s="72" t="s">
        <v>569</v>
      </c>
      <c r="F41" s="72" t="s">
        <v>947</v>
      </c>
    </row>
    <row r="42">
      <c r="A42" s="71" t="s">
        <v>771</v>
      </c>
      <c r="B42" s="71" t="s">
        <v>914</v>
      </c>
      <c r="C42" s="71" t="s">
        <v>863</v>
      </c>
      <c r="D42" s="71" t="s">
        <v>948</v>
      </c>
      <c r="E42" s="71" t="s">
        <v>570</v>
      </c>
      <c r="F42" s="71" t="s">
        <v>949</v>
      </c>
    </row>
    <row r="43">
      <c r="A43" s="72" t="s">
        <v>781</v>
      </c>
      <c r="B43" s="72" t="s">
        <v>914</v>
      </c>
      <c r="C43" s="72" t="s">
        <v>863</v>
      </c>
      <c r="D43" s="72" t="s">
        <v>948</v>
      </c>
      <c r="E43" s="72" t="s">
        <v>571</v>
      </c>
      <c r="F43" s="72" t="s">
        <v>950</v>
      </c>
    </row>
    <row r="44">
      <c r="A44" s="71" t="s">
        <v>782</v>
      </c>
      <c r="B44" s="71" t="s">
        <v>893</v>
      </c>
      <c r="C44" s="71" t="s">
        <v>863</v>
      </c>
      <c r="D44" s="71" t="s">
        <v>951</v>
      </c>
      <c r="E44" s="71" t="s">
        <v>572</v>
      </c>
      <c r="F44" s="71" t="s">
        <v>952</v>
      </c>
    </row>
    <row r="45">
      <c r="A45" s="72" t="s">
        <v>839</v>
      </c>
      <c r="B45" s="72" t="s">
        <v>893</v>
      </c>
      <c r="C45" s="72" t="s">
        <v>863</v>
      </c>
      <c r="D45" s="72" t="s">
        <v>951</v>
      </c>
      <c r="E45" s="72" t="s">
        <v>573</v>
      </c>
      <c r="F45" s="72" t="s">
        <v>953</v>
      </c>
    </row>
    <row r="46">
      <c r="A46" s="71" t="s">
        <v>787</v>
      </c>
      <c r="B46" s="71" t="s">
        <v>954</v>
      </c>
      <c r="C46" s="71" t="s">
        <v>863</v>
      </c>
      <c r="D46" s="71" t="s">
        <v>955</v>
      </c>
      <c r="E46" s="71" t="s">
        <v>574</v>
      </c>
      <c r="F46" s="71" t="s">
        <v>956</v>
      </c>
    </row>
    <row r="47">
      <c r="A47" s="72" t="s">
        <v>783</v>
      </c>
      <c r="B47" s="72" t="s">
        <v>957</v>
      </c>
      <c r="C47" s="72" t="s">
        <v>863</v>
      </c>
      <c r="D47" s="72" t="s">
        <v>958</v>
      </c>
      <c r="E47" s="72" t="s">
        <v>575</v>
      </c>
      <c r="F47" s="72" t="s">
        <v>959</v>
      </c>
    </row>
    <row r="48">
      <c r="A48" s="71" t="s">
        <v>749</v>
      </c>
      <c r="B48" s="71" t="s">
        <v>954</v>
      </c>
      <c r="C48" s="71" t="s">
        <v>863</v>
      </c>
      <c r="D48" s="71" t="s">
        <v>960</v>
      </c>
      <c r="E48" s="71" t="s">
        <v>576</v>
      </c>
      <c r="F48" s="71" t="s">
        <v>961</v>
      </c>
    </row>
    <row r="49">
      <c r="A49" s="72" t="s">
        <v>804</v>
      </c>
      <c r="B49" s="72" t="s">
        <v>954</v>
      </c>
      <c r="C49" s="72" t="s">
        <v>863</v>
      </c>
      <c r="D49" s="72" t="s">
        <v>960</v>
      </c>
      <c r="E49" s="72" t="s">
        <v>577</v>
      </c>
      <c r="F49" s="72" t="s">
        <v>962</v>
      </c>
    </row>
    <row r="50">
      <c r="A50" s="71" t="s">
        <v>837</v>
      </c>
      <c r="B50" s="71" t="s">
        <v>957</v>
      </c>
      <c r="C50" s="71" t="s">
        <v>863</v>
      </c>
      <c r="D50" s="71" t="s">
        <v>963</v>
      </c>
      <c r="E50" s="71" t="s">
        <v>578</v>
      </c>
      <c r="F50" s="71" t="s">
        <v>964</v>
      </c>
    </row>
    <row r="51">
      <c r="A51" s="72" t="s">
        <v>843</v>
      </c>
      <c r="B51" s="72" t="s">
        <v>875</v>
      </c>
      <c r="C51" s="72" t="s">
        <v>863</v>
      </c>
      <c r="D51" s="72" t="s">
        <v>965</v>
      </c>
      <c r="E51" s="72" t="s">
        <v>579</v>
      </c>
      <c r="F51" s="72" t="s">
        <v>966</v>
      </c>
    </row>
    <row r="52">
      <c r="A52" s="71" t="s">
        <v>832</v>
      </c>
      <c r="B52" s="71" t="s">
        <v>875</v>
      </c>
      <c r="C52" s="71" t="s">
        <v>863</v>
      </c>
      <c r="D52" s="71" t="s">
        <v>965</v>
      </c>
      <c r="E52" s="71" t="s">
        <v>517</v>
      </c>
      <c r="F52" s="71" t="s">
        <v>967</v>
      </c>
    </row>
    <row r="53">
      <c r="A53" s="72" t="s">
        <v>838</v>
      </c>
      <c r="B53" s="72" t="s">
        <v>927</v>
      </c>
      <c r="C53" s="72" t="s">
        <v>863</v>
      </c>
      <c r="D53" s="72" t="s">
        <v>968</v>
      </c>
      <c r="E53" s="72" t="s">
        <v>531</v>
      </c>
      <c r="F53" s="72" t="s">
        <v>969</v>
      </c>
    </row>
    <row r="54">
      <c r="A54" s="71" t="s">
        <v>805</v>
      </c>
      <c r="B54" s="71" t="s">
        <v>927</v>
      </c>
      <c r="C54" s="71" t="s">
        <v>863</v>
      </c>
      <c r="D54" s="71" t="s">
        <v>968</v>
      </c>
      <c r="E54" s="71" t="s">
        <v>532</v>
      </c>
      <c r="F54" s="71" t="s">
        <v>970</v>
      </c>
    </row>
    <row r="55">
      <c r="A55" s="72" t="s">
        <v>788</v>
      </c>
      <c r="B55" s="72" t="s">
        <v>936</v>
      </c>
      <c r="C55" s="72" t="s">
        <v>863</v>
      </c>
      <c r="D55" s="72" t="s">
        <v>971</v>
      </c>
      <c r="E55" s="72" t="s">
        <v>533</v>
      </c>
      <c r="F55" s="72" t="s">
        <v>972</v>
      </c>
    </row>
    <row r="56">
      <c r="A56" s="71" t="s">
        <v>784</v>
      </c>
      <c r="B56" s="71" t="s">
        <v>900</v>
      </c>
      <c r="C56" s="71" t="s">
        <v>863</v>
      </c>
      <c r="D56" s="71" t="s">
        <v>973</v>
      </c>
      <c r="E56" s="71" t="s">
        <v>534</v>
      </c>
      <c r="F56" s="71" t="s">
        <v>974</v>
      </c>
    </row>
    <row r="57">
      <c r="A57" s="72" t="s">
        <v>761</v>
      </c>
      <c r="B57" s="72" t="s">
        <v>875</v>
      </c>
      <c r="C57" s="72" t="s">
        <v>863</v>
      </c>
      <c r="D57" s="72" t="s">
        <v>975</v>
      </c>
      <c r="E57" s="72" t="s">
        <v>535</v>
      </c>
      <c r="F57" s="72" t="s">
        <v>976</v>
      </c>
    </row>
    <row r="58">
      <c r="A58" s="71" t="s">
        <v>829</v>
      </c>
      <c r="B58" s="71" t="s">
        <v>914</v>
      </c>
      <c r="C58" s="71" t="s">
        <v>863</v>
      </c>
      <c r="D58" s="71" t="s">
        <v>977</v>
      </c>
      <c r="E58" s="71" t="s">
        <v>536</v>
      </c>
      <c r="F58" s="71" t="s">
        <v>978</v>
      </c>
    </row>
    <row r="59">
      <c r="A59" s="72" t="s">
        <v>825</v>
      </c>
      <c r="B59" s="72" t="s">
        <v>914</v>
      </c>
      <c r="C59" s="72" t="s">
        <v>863</v>
      </c>
      <c r="D59" s="72" t="s">
        <v>977</v>
      </c>
      <c r="E59" s="72" t="s">
        <v>537</v>
      </c>
      <c r="F59" s="72" t="s">
        <v>979</v>
      </c>
    </row>
    <row r="60">
      <c r="A60" s="71" t="s">
        <v>789</v>
      </c>
      <c r="B60" s="71" t="s">
        <v>919</v>
      </c>
      <c r="C60" s="71" t="s">
        <v>863</v>
      </c>
      <c r="D60" s="71" t="s">
        <v>980</v>
      </c>
      <c r="E60" s="71" t="s">
        <v>538</v>
      </c>
      <c r="F60" s="71" t="s">
        <v>981</v>
      </c>
    </row>
    <row r="61">
      <c r="A61" s="72" t="s">
        <v>751</v>
      </c>
      <c r="B61" s="72" t="s">
        <v>919</v>
      </c>
      <c r="C61" s="72" t="s">
        <v>863</v>
      </c>
      <c r="D61" s="72" t="s">
        <v>980</v>
      </c>
      <c r="E61" s="72" t="s">
        <v>539</v>
      </c>
      <c r="F61" s="72" t="s">
        <v>982</v>
      </c>
    </row>
    <row r="62">
      <c r="A62" s="71" t="s">
        <v>757</v>
      </c>
      <c r="B62" s="71" t="s">
        <v>957</v>
      </c>
      <c r="C62" s="71" t="s">
        <v>863</v>
      </c>
      <c r="D62" s="71" t="s">
        <v>983</v>
      </c>
      <c r="E62" s="71" t="s">
        <v>540</v>
      </c>
      <c r="F62" s="71" t="s">
        <v>984</v>
      </c>
    </row>
    <row r="63">
      <c r="A63" s="72" t="s">
        <v>806</v>
      </c>
      <c r="B63" s="72" t="s">
        <v>957</v>
      </c>
      <c r="C63" s="72" t="s">
        <v>863</v>
      </c>
      <c r="D63" s="72" t="s">
        <v>983</v>
      </c>
      <c r="E63" s="72" t="s">
        <v>541</v>
      </c>
      <c r="F63" s="72" t="s">
        <v>985</v>
      </c>
    </row>
    <row r="64">
      <c r="A64" s="71" t="s">
        <v>844</v>
      </c>
      <c r="B64" s="71" t="s">
        <v>957</v>
      </c>
      <c r="C64" s="71" t="s">
        <v>863</v>
      </c>
      <c r="D64" s="71" t="s">
        <v>986</v>
      </c>
      <c r="E64" s="71" t="s">
        <v>542</v>
      </c>
      <c r="F64" s="71" t="s">
        <v>987</v>
      </c>
    </row>
    <row r="65">
      <c r="A65" s="72" t="s">
        <v>807</v>
      </c>
      <c r="B65" s="72" t="s">
        <v>957</v>
      </c>
      <c r="C65" s="72" t="s">
        <v>863</v>
      </c>
      <c r="D65" s="72" t="s">
        <v>986</v>
      </c>
      <c r="E65" s="72" t="s">
        <v>543</v>
      </c>
      <c r="F65" s="72" t="s">
        <v>988</v>
      </c>
    </row>
    <row r="66">
      <c r="A66" s="71" t="s">
        <v>790</v>
      </c>
      <c r="B66" s="71" t="s">
        <v>927</v>
      </c>
      <c r="C66" s="71" t="s">
        <v>863</v>
      </c>
      <c r="D66" s="71" t="s">
        <v>989</v>
      </c>
      <c r="E66" s="71" t="s">
        <v>544</v>
      </c>
      <c r="F66" s="71" t="s">
        <v>990</v>
      </c>
    </row>
    <row r="67">
      <c r="A67" s="72" t="s">
        <v>762</v>
      </c>
      <c r="B67" s="72" t="s">
        <v>869</v>
      </c>
      <c r="C67" s="72" t="s">
        <v>863</v>
      </c>
      <c r="D67" s="72" t="s">
        <v>991</v>
      </c>
      <c r="E67" s="72" t="s">
        <v>545</v>
      </c>
      <c r="F67" s="72" t="s">
        <v>992</v>
      </c>
    </row>
    <row r="68">
      <c r="A68" s="71" t="s">
        <v>816</v>
      </c>
      <c r="B68" s="71" t="s">
        <v>869</v>
      </c>
      <c r="C68" s="71" t="s">
        <v>863</v>
      </c>
      <c r="D68" s="71" t="s">
        <v>991</v>
      </c>
      <c r="E68" s="71" t="s">
        <v>546</v>
      </c>
      <c r="F68" s="71" t="s">
        <v>993</v>
      </c>
    </row>
    <row r="69">
      <c r="A69" s="72" t="s">
        <v>763</v>
      </c>
      <c r="B69" s="72" t="s">
        <v>889</v>
      </c>
      <c r="C69" s="72" t="s">
        <v>863</v>
      </c>
      <c r="D69" s="72" t="s">
        <v>994</v>
      </c>
      <c r="E69" s="72" t="s">
        <v>547</v>
      </c>
      <c r="F69" s="72" t="s">
        <v>995</v>
      </c>
    </row>
    <row r="70">
      <c r="A70" s="71" t="s">
        <v>758</v>
      </c>
      <c r="B70" s="71" t="s">
        <v>885</v>
      </c>
      <c r="C70" s="71" t="s">
        <v>863</v>
      </c>
      <c r="D70" s="71" t="s">
        <v>996</v>
      </c>
      <c r="E70" s="71" t="s">
        <v>548</v>
      </c>
      <c r="F70" s="71" t="s">
        <v>997</v>
      </c>
    </row>
    <row r="71">
      <c r="A71" s="72" t="s">
        <v>854</v>
      </c>
      <c r="B71" s="72" t="s">
        <v>885</v>
      </c>
      <c r="C71" s="72" t="s">
        <v>863</v>
      </c>
      <c r="D71" s="72" t="s">
        <v>996</v>
      </c>
      <c r="E71" s="72" t="s">
        <v>549</v>
      </c>
      <c r="F71" s="72" t="s">
        <v>998</v>
      </c>
    </row>
    <row r="72">
      <c r="A72" s="71" t="s">
        <v>772</v>
      </c>
      <c r="B72" s="71" t="s">
        <v>875</v>
      </c>
      <c r="C72" s="71" t="s">
        <v>863</v>
      </c>
      <c r="D72" s="71" t="s">
        <v>999</v>
      </c>
      <c r="E72" s="71" t="s">
        <v>550</v>
      </c>
      <c r="F72" s="71" t="s">
        <v>1000</v>
      </c>
    </row>
    <row r="73">
      <c r="A73" s="72" t="s">
        <v>799</v>
      </c>
      <c r="B73" s="72" t="s">
        <v>919</v>
      </c>
      <c r="C73" s="72" t="s">
        <v>863</v>
      </c>
      <c r="D73" s="72" t="s">
        <v>1001</v>
      </c>
      <c r="E73" s="72" t="s">
        <v>551</v>
      </c>
      <c r="F73" s="72" t="s">
        <v>1002</v>
      </c>
    </row>
    <row r="74">
      <c r="A74" s="71" t="s">
        <v>764</v>
      </c>
      <c r="B74" s="71" t="s">
        <v>919</v>
      </c>
      <c r="C74" s="71" t="s">
        <v>863</v>
      </c>
      <c r="D74" s="71" t="s">
        <v>1001</v>
      </c>
      <c r="E74" s="71" t="s">
        <v>552</v>
      </c>
      <c r="F74" s="71" t="s">
        <v>1003</v>
      </c>
    </row>
    <row r="75">
      <c r="A75" s="72" t="s">
        <v>817</v>
      </c>
      <c r="B75" s="72" t="s">
        <v>897</v>
      </c>
      <c r="C75" s="72" t="s">
        <v>863</v>
      </c>
      <c r="D75" s="72" t="s">
        <v>1004</v>
      </c>
      <c r="E75" s="72" t="s">
        <v>553</v>
      </c>
      <c r="F75" s="72" t="s">
        <v>1005</v>
      </c>
    </row>
    <row r="76">
      <c r="A76" s="71" t="s">
        <v>791</v>
      </c>
      <c r="B76" s="71" t="s">
        <v>897</v>
      </c>
      <c r="C76" s="71" t="s">
        <v>863</v>
      </c>
      <c r="D76" s="71" t="s">
        <v>1004</v>
      </c>
      <c r="E76" s="71" t="s">
        <v>554</v>
      </c>
      <c r="F76" s="71" t="s">
        <v>1006</v>
      </c>
    </row>
    <row r="77">
      <c r="A77" s="72" t="s">
        <v>858</v>
      </c>
      <c r="B77" s="72" t="s">
        <v>889</v>
      </c>
      <c r="C77" s="72" t="s">
        <v>863</v>
      </c>
      <c r="D77" s="72" t="s">
        <v>1007</v>
      </c>
      <c r="E77" s="72" t="s">
        <v>555</v>
      </c>
      <c r="F77" s="72" t="s">
        <v>1008</v>
      </c>
    </row>
    <row r="78">
      <c r="A78" s="71" t="s">
        <v>773</v>
      </c>
      <c r="B78" s="71" t="s">
        <v>862</v>
      </c>
      <c r="C78" s="71" t="s">
        <v>863</v>
      </c>
      <c r="D78" s="71" t="s">
        <v>1009</v>
      </c>
      <c r="E78" s="71" t="s">
        <v>556</v>
      </c>
      <c r="F78" s="71" t="s">
        <v>1010</v>
      </c>
    </row>
    <row r="79">
      <c r="A79" s="72" t="s">
        <v>830</v>
      </c>
      <c r="B79" s="72" t="s">
        <v>927</v>
      </c>
      <c r="C79" s="72" t="s">
        <v>863</v>
      </c>
      <c r="D79" s="72" t="s">
        <v>1011</v>
      </c>
      <c r="E79" s="72" t="s">
        <v>557</v>
      </c>
      <c r="F79" s="72" t="s">
        <v>1012</v>
      </c>
    </row>
    <row r="80">
      <c r="A80" s="71" t="s">
        <v>855</v>
      </c>
      <c r="B80" s="71" t="s">
        <v>927</v>
      </c>
      <c r="C80" s="71" t="s">
        <v>863</v>
      </c>
      <c r="D80" s="71" t="s">
        <v>1011</v>
      </c>
      <c r="E80" s="71" t="s">
        <v>558</v>
      </c>
      <c r="F80" s="71" t="s">
        <v>1013</v>
      </c>
    </row>
    <row r="81">
      <c r="A81" s="72" t="s">
        <v>765</v>
      </c>
      <c r="B81" s="72" t="s">
        <v>862</v>
      </c>
      <c r="C81" s="72" t="s">
        <v>863</v>
      </c>
      <c r="D81" s="72" t="s">
        <v>1014</v>
      </c>
      <c r="E81" s="72" t="s">
        <v>559</v>
      </c>
      <c r="F81" s="72" t="s">
        <v>1015</v>
      </c>
    </row>
    <row r="82">
      <c r="A82" s="71" t="s">
        <v>845</v>
      </c>
      <c r="B82" s="71" t="s">
        <v>936</v>
      </c>
      <c r="C82" s="71" t="s">
        <v>863</v>
      </c>
      <c r="D82" s="71" t="s">
        <v>1016</v>
      </c>
      <c r="E82" s="71" t="s">
        <v>560</v>
      </c>
      <c r="F82" s="71" t="s">
        <v>1017</v>
      </c>
    </row>
    <row r="83">
      <c r="A83" s="72" t="s">
        <v>792</v>
      </c>
      <c r="B83" s="72" t="s">
        <v>900</v>
      </c>
      <c r="C83" s="72" t="s">
        <v>863</v>
      </c>
      <c r="D83" s="72" t="s">
        <v>1018</v>
      </c>
      <c r="E83" s="72" t="s">
        <v>561</v>
      </c>
      <c r="F83" s="72" t="s">
        <v>1019</v>
      </c>
    </row>
    <row r="84">
      <c r="A84" s="71" t="s">
        <v>752</v>
      </c>
      <c r="B84" s="71" t="s">
        <v>882</v>
      </c>
      <c r="C84" s="71" t="s">
        <v>863</v>
      </c>
      <c r="D84" s="71" t="s">
        <v>1020</v>
      </c>
      <c r="E84" s="71" t="s">
        <v>562</v>
      </c>
      <c r="F84" s="71" t="s">
        <v>1021</v>
      </c>
    </row>
    <row r="85">
      <c r="A85" s="72" t="s">
        <v>793</v>
      </c>
      <c r="B85" s="72" t="s">
        <v>882</v>
      </c>
      <c r="C85" s="72" t="s">
        <v>863</v>
      </c>
      <c r="D85" s="72" t="s">
        <v>1020</v>
      </c>
      <c r="E85" s="72" t="s">
        <v>563</v>
      </c>
      <c r="F85" s="72" t="s">
        <v>1022</v>
      </c>
    </row>
    <row r="86">
      <c r="A86" s="71" t="s">
        <v>808</v>
      </c>
      <c r="B86" s="71" t="s">
        <v>869</v>
      </c>
      <c r="C86" s="71" t="s">
        <v>863</v>
      </c>
      <c r="D86" s="71" t="s">
        <v>1023</v>
      </c>
      <c r="E86" s="71" t="s">
        <v>564</v>
      </c>
      <c r="F86" s="71" t="s">
        <v>1024</v>
      </c>
    </row>
    <row r="87">
      <c r="A87" s="72" t="s">
        <v>847</v>
      </c>
      <c r="B87" s="72" t="s">
        <v>919</v>
      </c>
      <c r="C87" s="72" t="s">
        <v>863</v>
      </c>
      <c r="D87" s="72" t="s">
        <v>1025</v>
      </c>
      <c r="E87" s="72" t="s">
        <v>565</v>
      </c>
      <c r="F87" s="72" t="s">
        <v>1026</v>
      </c>
    </row>
    <row r="88">
      <c r="A88" s="71" t="s">
        <v>826</v>
      </c>
      <c r="B88" s="71" t="s">
        <v>919</v>
      </c>
      <c r="C88" s="71" t="s">
        <v>863</v>
      </c>
      <c r="D88" s="71" t="s">
        <v>1025</v>
      </c>
      <c r="E88" s="71" t="s">
        <v>566</v>
      </c>
      <c r="F88" s="71" t="s">
        <v>1027</v>
      </c>
    </row>
    <row r="89">
      <c r="A89" s="72" t="s">
        <v>809</v>
      </c>
      <c r="B89" s="72" t="s">
        <v>954</v>
      </c>
      <c r="C89" s="72" t="s">
        <v>863</v>
      </c>
      <c r="D89" s="72" t="s">
        <v>1028</v>
      </c>
      <c r="E89" s="72" t="s">
        <v>567</v>
      </c>
      <c r="F89" s="72" t="s">
        <v>1029</v>
      </c>
    </row>
    <row r="90">
      <c r="A90" s="71" t="s">
        <v>813</v>
      </c>
      <c r="B90" s="71" t="s">
        <v>954</v>
      </c>
      <c r="C90" s="71" t="s">
        <v>863</v>
      </c>
      <c r="D90" s="71" t="s">
        <v>1028</v>
      </c>
      <c r="E90" s="71" t="s">
        <v>568</v>
      </c>
      <c r="F90" s="71" t="s">
        <v>1030</v>
      </c>
    </row>
    <row r="91">
      <c r="A91" s="72" t="s">
        <v>818</v>
      </c>
      <c r="B91" s="72" t="s">
        <v>893</v>
      </c>
      <c r="C91" s="72" t="s">
        <v>863</v>
      </c>
      <c r="D91" s="72" t="s">
        <v>1031</v>
      </c>
      <c r="E91" s="72" t="s">
        <v>569</v>
      </c>
      <c r="F91" s="72" t="s">
        <v>1032</v>
      </c>
    </row>
    <row r="92">
      <c r="A92" s="71" t="s">
        <v>810</v>
      </c>
      <c r="B92" s="71" t="s">
        <v>893</v>
      </c>
      <c r="C92" s="71" t="s">
        <v>863</v>
      </c>
      <c r="D92" s="71" t="s">
        <v>1031</v>
      </c>
      <c r="E92" s="71" t="s">
        <v>570</v>
      </c>
      <c r="F92" s="71" t="s">
        <v>1033</v>
      </c>
    </row>
    <row r="93">
      <c r="A93" s="72" t="s">
        <v>849</v>
      </c>
      <c r="B93" s="72" t="s">
        <v>914</v>
      </c>
      <c r="C93" s="72" t="s">
        <v>863</v>
      </c>
      <c r="D93" s="72" t="s">
        <v>1034</v>
      </c>
      <c r="E93" s="72" t="s">
        <v>571</v>
      </c>
      <c r="F93" s="72" t="s">
        <v>1035</v>
      </c>
    </row>
    <row r="94">
      <c r="A94" s="71" t="s">
        <v>853</v>
      </c>
      <c r="B94" s="71" t="s">
        <v>893</v>
      </c>
      <c r="C94" s="71" t="s">
        <v>863</v>
      </c>
      <c r="D94" s="71" t="s">
        <v>1036</v>
      </c>
      <c r="E94" s="71" t="s">
        <v>572</v>
      </c>
      <c r="F94" s="71" t="s">
        <v>1037</v>
      </c>
    </row>
    <row r="95">
      <c r="A95" s="72" t="s">
        <v>753</v>
      </c>
      <c r="B95" s="72" t="s">
        <v>869</v>
      </c>
      <c r="C95" s="72" t="s">
        <v>863</v>
      </c>
      <c r="D95" s="72" t="s">
        <v>1038</v>
      </c>
      <c r="E95" s="72" t="s">
        <v>573</v>
      </c>
      <c r="F95" s="72" t="s">
        <v>1039</v>
      </c>
    </row>
    <row r="96">
      <c r="A96" s="71" t="s">
        <v>785</v>
      </c>
      <c r="B96" s="71" t="s">
        <v>954</v>
      </c>
      <c r="C96" s="71" t="s">
        <v>863</v>
      </c>
      <c r="D96" s="71" t="s">
        <v>1040</v>
      </c>
      <c r="E96" s="71" t="s">
        <v>574</v>
      </c>
      <c r="F96" s="71" t="s">
        <v>1041</v>
      </c>
    </row>
    <row r="97">
      <c r="A97" s="72" t="s">
        <v>811</v>
      </c>
      <c r="B97" s="72" t="s">
        <v>954</v>
      </c>
      <c r="C97" s="72" t="s">
        <v>863</v>
      </c>
      <c r="D97" s="72" t="s">
        <v>1040</v>
      </c>
      <c r="E97" s="72" t="s">
        <v>575</v>
      </c>
      <c r="F97" s="72" t="s">
        <v>1042</v>
      </c>
    </row>
    <row r="98">
      <c r="A98" s="71" t="s">
        <v>760</v>
      </c>
      <c r="B98" s="71" t="s">
        <v>954</v>
      </c>
      <c r="C98" s="71" t="s">
        <v>863</v>
      </c>
      <c r="D98" s="71" t="s">
        <v>1043</v>
      </c>
      <c r="E98" s="71" t="s">
        <v>576</v>
      </c>
      <c r="F98" s="71" t="s">
        <v>1044</v>
      </c>
    </row>
    <row r="99">
      <c r="A99" s="72" t="s">
        <v>833</v>
      </c>
      <c r="B99" s="72" t="s">
        <v>954</v>
      </c>
      <c r="C99" s="72" t="s">
        <v>863</v>
      </c>
      <c r="D99" s="72" t="s">
        <v>1043</v>
      </c>
      <c r="E99" s="72" t="s">
        <v>577</v>
      </c>
      <c r="F99" s="72" t="s">
        <v>1045</v>
      </c>
    </row>
    <row r="100">
      <c r="A100" s="71" t="s">
        <v>834</v>
      </c>
      <c r="B100" s="71" t="s">
        <v>936</v>
      </c>
      <c r="C100" s="71" t="s">
        <v>863</v>
      </c>
      <c r="D100" s="71" t="s">
        <v>1046</v>
      </c>
      <c r="E100" s="71" t="s">
        <v>578</v>
      </c>
      <c r="F100" s="71" t="s">
        <v>1047</v>
      </c>
    </row>
    <row r="101">
      <c r="A101" s="72" t="s">
        <v>766</v>
      </c>
      <c r="B101" s="72" t="s">
        <v>882</v>
      </c>
      <c r="C101" s="72" t="s">
        <v>863</v>
      </c>
      <c r="D101" s="72" t="s">
        <v>1048</v>
      </c>
      <c r="E101" s="72" t="s">
        <v>579</v>
      </c>
      <c r="F101" s="72" t="s">
        <v>1049</v>
      </c>
    </row>
    <row r="102">
      <c r="A102" s="71" t="s">
        <v>814</v>
      </c>
      <c r="B102" s="71" t="s">
        <v>919</v>
      </c>
      <c r="C102" s="71" t="s">
        <v>863</v>
      </c>
      <c r="D102" s="71" t="s">
        <v>1050</v>
      </c>
      <c r="E102" s="71" t="s">
        <v>517</v>
      </c>
      <c r="F102" s="71" t="s">
        <v>1051</v>
      </c>
    </row>
    <row r="103">
      <c r="A103" s="72" t="s">
        <v>840</v>
      </c>
      <c r="B103" s="72" t="s">
        <v>889</v>
      </c>
      <c r="C103" s="72" t="s">
        <v>863</v>
      </c>
      <c r="D103" s="72" t="s">
        <v>1052</v>
      </c>
      <c r="E103" s="72" t="s">
        <v>531</v>
      </c>
      <c r="F103" s="72" t="s">
        <v>1053</v>
      </c>
    </row>
    <row r="104">
      <c r="A104" s="71" t="s">
        <v>819</v>
      </c>
      <c r="B104" s="71" t="s">
        <v>927</v>
      </c>
      <c r="C104" s="71" t="s">
        <v>863</v>
      </c>
      <c r="D104" s="71" t="s">
        <v>1054</v>
      </c>
      <c r="E104" s="71" t="s">
        <v>532</v>
      </c>
      <c r="F104" s="71" t="s">
        <v>1055</v>
      </c>
    </row>
    <row r="105">
      <c r="A105" s="72" t="s">
        <v>835</v>
      </c>
      <c r="B105" s="72" t="s">
        <v>957</v>
      </c>
      <c r="C105" s="72" t="s">
        <v>863</v>
      </c>
      <c r="D105" s="72" t="s">
        <v>1056</v>
      </c>
      <c r="E105" s="72" t="s">
        <v>533</v>
      </c>
      <c r="F105" s="72" t="s">
        <v>1057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65.13"/>
  </cols>
  <sheetData>
    <row r="1">
      <c r="A1" s="70" t="s">
        <v>860</v>
      </c>
      <c r="B1" s="70" t="s">
        <v>1058</v>
      </c>
    </row>
    <row r="2">
      <c r="A2" s="71" t="s">
        <v>517</v>
      </c>
      <c r="B2" s="71" t="s">
        <v>1059</v>
      </c>
    </row>
    <row r="3">
      <c r="A3" s="72" t="s">
        <v>531</v>
      </c>
      <c r="B3" s="72" t="s">
        <v>1060</v>
      </c>
    </row>
    <row r="4">
      <c r="A4" s="71" t="s">
        <v>532</v>
      </c>
      <c r="B4" s="71" t="s">
        <v>1061</v>
      </c>
    </row>
    <row r="5">
      <c r="A5" s="72" t="s">
        <v>533</v>
      </c>
      <c r="B5" s="72" t="s">
        <v>1062</v>
      </c>
    </row>
    <row r="6">
      <c r="A6" s="71" t="s">
        <v>534</v>
      </c>
      <c r="B6" s="71" t="s">
        <v>1063</v>
      </c>
    </row>
    <row r="7">
      <c r="A7" s="72" t="s">
        <v>535</v>
      </c>
      <c r="B7" s="72" t="s">
        <v>1064</v>
      </c>
    </row>
    <row r="8">
      <c r="A8" s="71" t="s">
        <v>536</v>
      </c>
      <c r="B8" s="71" t="s">
        <v>1065</v>
      </c>
    </row>
    <row r="9">
      <c r="A9" s="72" t="s">
        <v>537</v>
      </c>
      <c r="B9" s="72" t="s">
        <v>1066</v>
      </c>
    </row>
    <row r="10">
      <c r="A10" s="71" t="s">
        <v>538</v>
      </c>
      <c r="B10" s="71" t="s">
        <v>1067</v>
      </c>
    </row>
    <row r="11">
      <c r="A11" s="72" t="s">
        <v>539</v>
      </c>
      <c r="B11" s="72" t="s">
        <v>1068</v>
      </c>
    </row>
    <row r="12">
      <c r="A12" s="71" t="s">
        <v>540</v>
      </c>
      <c r="B12" s="71" t="s">
        <v>1069</v>
      </c>
    </row>
    <row r="13">
      <c r="A13" s="72" t="s">
        <v>541</v>
      </c>
      <c r="B13" s="72" t="s">
        <v>1070</v>
      </c>
    </row>
    <row r="14">
      <c r="A14" s="71" t="s">
        <v>542</v>
      </c>
      <c r="B14" s="71" t="s">
        <v>1071</v>
      </c>
    </row>
    <row r="15">
      <c r="A15" s="72" t="s">
        <v>543</v>
      </c>
      <c r="B15" s="72" t="s">
        <v>1072</v>
      </c>
    </row>
    <row r="16">
      <c r="A16" s="71" t="s">
        <v>544</v>
      </c>
      <c r="B16" s="71" t="s">
        <v>1073</v>
      </c>
    </row>
    <row r="17">
      <c r="A17" s="72" t="s">
        <v>545</v>
      </c>
      <c r="B17" s="72" t="s">
        <v>1074</v>
      </c>
    </row>
    <row r="18">
      <c r="A18" s="71" t="s">
        <v>546</v>
      </c>
      <c r="B18" s="71" t="s">
        <v>1075</v>
      </c>
    </row>
    <row r="19">
      <c r="A19" s="72" t="s">
        <v>547</v>
      </c>
      <c r="B19" s="72" t="s">
        <v>1076</v>
      </c>
    </row>
    <row r="20">
      <c r="A20" s="71" t="s">
        <v>548</v>
      </c>
      <c r="B20" s="71" t="s">
        <v>1077</v>
      </c>
    </row>
    <row r="21">
      <c r="A21" s="72" t="s">
        <v>549</v>
      </c>
      <c r="B21" s="72" t="s">
        <v>1078</v>
      </c>
    </row>
    <row r="22">
      <c r="A22" s="71" t="s">
        <v>550</v>
      </c>
      <c r="B22" s="71" t="s">
        <v>1079</v>
      </c>
    </row>
    <row r="23">
      <c r="A23" s="72" t="s">
        <v>551</v>
      </c>
      <c r="B23" s="72" t="s">
        <v>1080</v>
      </c>
    </row>
    <row r="24">
      <c r="A24" s="71" t="s">
        <v>552</v>
      </c>
      <c r="B24" s="71" t="s">
        <v>1081</v>
      </c>
    </row>
    <row r="25">
      <c r="A25" s="72" t="s">
        <v>553</v>
      </c>
      <c r="B25" s="72" t="s">
        <v>1082</v>
      </c>
    </row>
    <row r="26">
      <c r="A26" s="71" t="s">
        <v>554</v>
      </c>
      <c r="B26" s="71" t="s">
        <v>1083</v>
      </c>
    </row>
    <row r="27">
      <c r="A27" s="72" t="s">
        <v>555</v>
      </c>
      <c r="B27" s="72" t="s">
        <v>1084</v>
      </c>
    </row>
    <row r="28">
      <c r="A28" s="71" t="s">
        <v>556</v>
      </c>
      <c r="B28" s="71" t="s">
        <v>1085</v>
      </c>
    </row>
    <row r="29">
      <c r="A29" s="72" t="s">
        <v>557</v>
      </c>
      <c r="B29" s="72" t="s">
        <v>1086</v>
      </c>
    </row>
    <row r="30">
      <c r="A30" s="71" t="s">
        <v>558</v>
      </c>
      <c r="B30" s="71" t="s">
        <v>1087</v>
      </c>
    </row>
    <row r="31">
      <c r="A31" s="72" t="s">
        <v>559</v>
      </c>
      <c r="B31" s="72" t="s">
        <v>1088</v>
      </c>
    </row>
    <row r="32">
      <c r="A32" s="71" t="s">
        <v>560</v>
      </c>
      <c r="B32" s="71" t="s">
        <v>1089</v>
      </c>
    </row>
    <row r="33">
      <c r="A33" s="72" t="s">
        <v>561</v>
      </c>
      <c r="B33" s="72" t="s">
        <v>1090</v>
      </c>
    </row>
    <row r="34">
      <c r="A34" s="71" t="s">
        <v>562</v>
      </c>
      <c r="B34" s="71" t="s">
        <v>1091</v>
      </c>
    </row>
    <row r="35">
      <c r="A35" s="72" t="s">
        <v>563</v>
      </c>
      <c r="B35" s="72" t="s">
        <v>1092</v>
      </c>
    </row>
    <row r="36">
      <c r="A36" s="71" t="s">
        <v>564</v>
      </c>
      <c r="B36" s="71" t="s">
        <v>1093</v>
      </c>
    </row>
    <row r="37">
      <c r="A37" s="72" t="s">
        <v>565</v>
      </c>
      <c r="B37" s="72" t="s">
        <v>1094</v>
      </c>
    </row>
    <row r="38">
      <c r="A38" s="71" t="s">
        <v>566</v>
      </c>
      <c r="B38" s="71" t="s">
        <v>1095</v>
      </c>
    </row>
    <row r="39">
      <c r="A39" s="72" t="s">
        <v>567</v>
      </c>
      <c r="B39" s="72" t="s">
        <v>1096</v>
      </c>
    </row>
    <row r="40">
      <c r="A40" s="71" t="s">
        <v>568</v>
      </c>
      <c r="B40" s="71" t="s">
        <v>1097</v>
      </c>
    </row>
    <row r="41">
      <c r="A41" s="72" t="s">
        <v>569</v>
      </c>
      <c r="B41" s="72" t="s">
        <v>1098</v>
      </c>
    </row>
    <row r="42">
      <c r="A42" s="71" t="s">
        <v>570</v>
      </c>
      <c r="B42" s="71" t="s">
        <v>1099</v>
      </c>
    </row>
    <row r="43">
      <c r="A43" s="72" t="s">
        <v>571</v>
      </c>
      <c r="B43" s="72" t="s">
        <v>1100</v>
      </c>
    </row>
    <row r="44">
      <c r="A44" s="71" t="s">
        <v>572</v>
      </c>
      <c r="B44" s="71" t="s">
        <v>1101</v>
      </c>
    </row>
    <row r="45">
      <c r="A45" s="72" t="s">
        <v>573</v>
      </c>
      <c r="B45" s="72" t="s">
        <v>1102</v>
      </c>
    </row>
    <row r="46">
      <c r="A46" s="71" t="s">
        <v>574</v>
      </c>
      <c r="B46" s="71" t="s">
        <v>1103</v>
      </c>
    </row>
    <row r="47">
      <c r="A47" s="72" t="s">
        <v>575</v>
      </c>
      <c r="B47" s="72" t="s">
        <v>1104</v>
      </c>
    </row>
    <row r="48">
      <c r="A48" s="71" t="s">
        <v>576</v>
      </c>
      <c r="B48" s="71" t="s">
        <v>1105</v>
      </c>
    </row>
    <row r="49">
      <c r="A49" s="72" t="s">
        <v>577</v>
      </c>
      <c r="B49" s="72" t="s">
        <v>1106</v>
      </c>
    </row>
    <row r="50">
      <c r="A50" s="71" t="s">
        <v>578</v>
      </c>
      <c r="B50" s="71" t="s">
        <v>1107</v>
      </c>
    </row>
    <row r="51">
      <c r="A51" s="72" t="s">
        <v>579</v>
      </c>
      <c r="B51" s="72" t="s">
        <v>1108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65.13"/>
  </cols>
  <sheetData>
    <row r="1">
      <c r="A1" s="70" t="s">
        <v>1109</v>
      </c>
      <c r="B1" s="70" t="s">
        <v>1058</v>
      </c>
    </row>
    <row r="2">
      <c r="A2" s="71" t="s">
        <v>1110</v>
      </c>
      <c r="B2" s="71" t="s">
        <v>1111</v>
      </c>
    </row>
    <row r="3">
      <c r="A3" s="72" t="s">
        <v>1112</v>
      </c>
      <c r="B3" s="72" t="s">
        <v>1113</v>
      </c>
    </row>
    <row r="4">
      <c r="A4" s="71" t="s">
        <v>1114</v>
      </c>
      <c r="B4" s="71" t="s">
        <v>1115</v>
      </c>
    </row>
    <row r="5">
      <c r="A5" s="72" t="s">
        <v>1116</v>
      </c>
      <c r="B5" s="72" t="s">
        <v>1117</v>
      </c>
    </row>
    <row r="6">
      <c r="A6" s="71" t="s">
        <v>1118</v>
      </c>
      <c r="B6" s="71" t="s">
        <v>1119</v>
      </c>
    </row>
    <row r="7">
      <c r="A7" s="72" t="s">
        <v>1120</v>
      </c>
      <c r="B7" s="72" t="s">
        <v>1121</v>
      </c>
    </row>
    <row r="8">
      <c r="A8" s="71" t="s">
        <v>1122</v>
      </c>
      <c r="B8" s="71" t="s">
        <v>1123</v>
      </c>
    </row>
    <row r="9">
      <c r="A9" s="72" t="s">
        <v>1124</v>
      </c>
      <c r="B9" s="72" t="s">
        <v>1125</v>
      </c>
    </row>
    <row r="10">
      <c r="A10" s="71" t="s">
        <v>1126</v>
      </c>
      <c r="B10" s="71" t="s">
        <v>1123</v>
      </c>
    </row>
    <row r="11">
      <c r="A11" s="72" t="s">
        <v>1127</v>
      </c>
      <c r="B11" s="72" t="s">
        <v>1128</v>
      </c>
    </row>
    <row r="12">
      <c r="A12" s="71" t="s">
        <v>1129</v>
      </c>
      <c r="B12" s="71" t="s">
        <v>1130</v>
      </c>
    </row>
    <row r="13">
      <c r="A13" s="72" t="s">
        <v>1131</v>
      </c>
      <c r="B13" s="72" t="s">
        <v>1132</v>
      </c>
    </row>
    <row r="14">
      <c r="A14" s="71" t="s">
        <v>1133</v>
      </c>
      <c r="B14" s="71" t="s">
        <v>1134</v>
      </c>
    </row>
    <row r="15">
      <c r="A15" s="72" t="s">
        <v>1135</v>
      </c>
      <c r="B15" s="72" t="s">
        <v>1136</v>
      </c>
    </row>
    <row r="16">
      <c r="A16" s="71" t="s">
        <v>1137</v>
      </c>
      <c r="B16" s="71" t="s">
        <v>1138</v>
      </c>
    </row>
    <row r="17">
      <c r="A17" s="72" t="s">
        <v>1139</v>
      </c>
      <c r="B17" s="72" t="s">
        <v>1140</v>
      </c>
    </row>
    <row r="18">
      <c r="A18" s="71" t="s">
        <v>1141</v>
      </c>
      <c r="B18" s="71" t="s">
        <v>1142</v>
      </c>
    </row>
    <row r="19">
      <c r="A19" s="72" t="s">
        <v>1143</v>
      </c>
      <c r="B19" s="72" t="s">
        <v>1144</v>
      </c>
    </row>
    <row r="20">
      <c r="A20" s="71" t="s">
        <v>1145</v>
      </c>
      <c r="B20" s="71" t="s">
        <v>1146</v>
      </c>
    </row>
    <row r="21">
      <c r="A21" s="72" t="s">
        <v>1147</v>
      </c>
      <c r="B21" s="72" t="s">
        <v>1148</v>
      </c>
    </row>
    <row r="22">
      <c r="A22" s="71" t="s">
        <v>1149</v>
      </c>
      <c r="B22" s="71" t="s">
        <v>1150</v>
      </c>
    </row>
    <row r="23">
      <c r="A23" s="72" t="s">
        <v>1151</v>
      </c>
      <c r="B23" s="72" t="s">
        <v>1152</v>
      </c>
    </row>
    <row r="24">
      <c r="A24" s="71" t="s">
        <v>1153</v>
      </c>
      <c r="B24" s="71" t="s">
        <v>1154</v>
      </c>
    </row>
    <row r="25">
      <c r="A25" s="72" t="s">
        <v>1155</v>
      </c>
      <c r="B25" s="72" t="s">
        <v>1156</v>
      </c>
    </row>
    <row r="26">
      <c r="A26" s="71" t="s">
        <v>1157</v>
      </c>
      <c r="B26" s="71" t="s">
        <v>1138</v>
      </c>
    </row>
    <row r="27">
      <c r="A27" s="72" t="s">
        <v>1158</v>
      </c>
      <c r="B27" s="72" t="s">
        <v>1159</v>
      </c>
    </row>
    <row r="28">
      <c r="A28" s="71" t="s">
        <v>1160</v>
      </c>
      <c r="B28" s="71" t="s">
        <v>1161</v>
      </c>
    </row>
    <row r="29">
      <c r="A29" s="72" t="s">
        <v>1162</v>
      </c>
      <c r="B29" s="72" t="s">
        <v>1163</v>
      </c>
    </row>
    <row r="30">
      <c r="A30" s="71" t="s">
        <v>1164</v>
      </c>
      <c r="B30" s="71" t="s">
        <v>1165</v>
      </c>
    </row>
    <row r="31">
      <c r="A31" s="72" t="s">
        <v>1166</v>
      </c>
      <c r="B31" s="72" t="s">
        <v>1167</v>
      </c>
    </row>
    <row r="32">
      <c r="A32" s="71" t="s">
        <v>1168</v>
      </c>
      <c r="B32" s="71" t="s">
        <v>1169</v>
      </c>
    </row>
    <row r="33">
      <c r="A33" s="72" t="s">
        <v>1170</v>
      </c>
      <c r="B33" s="72" t="s">
        <v>1171</v>
      </c>
    </row>
    <row r="34">
      <c r="A34" s="71" t="s">
        <v>1172</v>
      </c>
      <c r="B34" s="71" t="s">
        <v>1173</v>
      </c>
    </row>
    <row r="35">
      <c r="A35" s="72" t="s">
        <v>1174</v>
      </c>
      <c r="B35" s="72" t="s">
        <v>1175</v>
      </c>
    </row>
    <row r="36">
      <c r="A36" s="71" t="s">
        <v>1176</v>
      </c>
      <c r="B36" s="71" t="s">
        <v>1144</v>
      </c>
    </row>
    <row r="37">
      <c r="A37" s="72" t="s">
        <v>1177</v>
      </c>
      <c r="B37" s="72" t="s">
        <v>1119</v>
      </c>
    </row>
    <row r="38">
      <c r="A38" s="71" t="s">
        <v>1178</v>
      </c>
      <c r="B38" s="71" t="s">
        <v>1179</v>
      </c>
    </row>
    <row r="39">
      <c r="A39" s="72" t="s">
        <v>1180</v>
      </c>
      <c r="B39" s="72" t="s">
        <v>1181</v>
      </c>
    </row>
    <row r="40">
      <c r="A40" s="71" t="s">
        <v>1182</v>
      </c>
      <c r="B40" s="71" t="s">
        <v>1183</v>
      </c>
    </row>
    <row r="41">
      <c r="A41" s="72" t="s">
        <v>1184</v>
      </c>
      <c r="B41" s="72" t="s">
        <v>1185</v>
      </c>
    </row>
    <row r="42">
      <c r="A42" s="71" t="s">
        <v>1186</v>
      </c>
      <c r="B42" s="71" t="s">
        <v>1187</v>
      </c>
    </row>
    <row r="43">
      <c r="A43" s="72" t="s">
        <v>1188</v>
      </c>
      <c r="B43" s="72" t="s">
        <v>1189</v>
      </c>
    </row>
    <row r="44">
      <c r="A44" s="71" t="s">
        <v>1190</v>
      </c>
      <c r="B44" s="71" t="s">
        <v>1191</v>
      </c>
    </row>
    <row r="45">
      <c r="A45" s="72" t="s">
        <v>1192</v>
      </c>
      <c r="B45" s="72" t="s">
        <v>1193</v>
      </c>
    </row>
    <row r="46">
      <c r="A46" s="71" t="s">
        <v>1194</v>
      </c>
      <c r="B46" s="71" t="s">
        <v>1195</v>
      </c>
    </row>
    <row r="47">
      <c r="A47" s="72" t="s">
        <v>1196</v>
      </c>
      <c r="B47" s="72" t="s">
        <v>1197</v>
      </c>
    </row>
    <row r="48">
      <c r="A48" s="71" t="s">
        <v>1198</v>
      </c>
      <c r="B48" s="71" t="s">
        <v>1199</v>
      </c>
    </row>
    <row r="49">
      <c r="A49" s="72" t="s">
        <v>1200</v>
      </c>
      <c r="B49" s="72" t="s">
        <v>1201</v>
      </c>
    </row>
    <row r="50">
      <c r="A50" s="71" t="s">
        <v>1202</v>
      </c>
      <c r="B50" s="71" t="s">
        <v>1203</v>
      </c>
    </row>
    <row r="51">
      <c r="A51" s="72" t="s">
        <v>1204</v>
      </c>
      <c r="B51" s="72" t="s">
        <v>1205</v>
      </c>
    </row>
    <row r="52">
      <c r="A52" s="71" t="s">
        <v>1206</v>
      </c>
      <c r="B52" s="71" t="s">
        <v>1207</v>
      </c>
    </row>
    <row r="53">
      <c r="A53" s="72" t="s">
        <v>1208</v>
      </c>
      <c r="B53" s="72" t="s">
        <v>1209</v>
      </c>
    </row>
    <row r="54">
      <c r="A54" s="71" t="s">
        <v>1210</v>
      </c>
      <c r="B54" s="71" t="s">
        <v>1211</v>
      </c>
    </row>
    <row r="55">
      <c r="A55" s="72" t="s">
        <v>1212</v>
      </c>
      <c r="B55" s="72" t="s">
        <v>1213</v>
      </c>
    </row>
    <row r="56">
      <c r="A56" s="71" t="s">
        <v>1214</v>
      </c>
      <c r="B56" s="71" t="s">
        <v>1215</v>
      </c>
    </row>
    <row r="57">
      <c r="A57" s="72" t="s">
        <v>1216</v>
      </c>
      <c r="B57" s="72" t="s">
        <v>1215</v>
      </c>
    </row>
    <row r="58">
      <c r="A58" s="71" t="s">
        <v>1217</v>
      </c>
      <c r="B58" s="71" t="s">
        <v>1218</v>
      </c>
    </row>
    <row r="59">
      <c r="A59" s="72" t="s">
        <v>1219</v>
      </c>
      <c r="B59" s="72" t="s">
        <v>1220</v>
      </c>
    </row>
    <row r="60">
      <c r="A60" s="71" t="s">
        <v>1221</v>
      </c>
      <c r="B60" s="71" t="s">
        <v>1222</v>
      </c>
    </row>
    <row r="61">
      <c r="A61" s="72" t="s">
        <v>1223</v>
      </c>
      <c r="B61" s="72" t="s">
        <v>1224</v>
      </c>
    </row>
    <row r="62">
      <c r="A62" s="71" t="s">
        <v>1225</v>
      </c>
      <c r="B62" s="71" t="s">
        <v>1226</v>
      </c>
    </row>
    <row r="63">
      <c r="A63" s="72" t="s">
        <v>1227</v>
      </c>
      <c r="B63" s="72" t="s">
        <v>1228</v>
      </c>
    </row>
    <row r="64">
      <c r="A64" s="71" t="s">
        <v>1229</v>
      </c>
      <c r="B64" s="71" t="s">
        <v>1230</v>
      </c>
    </row>
    <row r="65">
      <c r="A65" s="72" t="s">
        <v>1231</v>
      </c>
      <c r="B65" s="72" t="s">
        <v>1232</v>
      </c>
    </row>
    <row r="66">
      <c r="A66" s="71" t="s">
        <v>1233</v>
      </c>
      <c r="B66" s="71" t="s">
        <v>1234</v>
      </c>
    </row>
    <row r="67">
      <c r="A67" s="72" t="s">
        <v>1235</v>
      </c>
      <c r="B67" s="72" t="s">
        <v>1236</v>
      </c>
    </row>
    <row r="68">
      <c r="A68" s="71" t="s">
        <v>1237</v>
      </c>
      <c r="B68" s="71" t="s">
        <v>1238</v>
      </c>
    </row>
    <row r="69">
      <c r="A69" s="72" t="s">
        <v>1239</v>
      </c>
      <c r="B69" s="72" t="s">
        <v>1240</v>
      </c>
    </row>
    <row r="70">
      <c r="A70" s="71" t="s">
        <v>1241</v>
      </c>
      <c r="B70" s="71" t="s">
        <v>1242</v>
      </c>
    </row>
    <row r="71">
      <c r="A71" s="72" t="s">
        <v>1243</v>
      </c>
      <c r="B71" s="72" t="s">
        <v>1218</v>
      </c>
    </row>
    <row r="72">
      <c r="A72" s="71" t="s">
        <v>1244</v>
      </c>
      <c r="B72" s="71" t="s">
        <v>1245</v>
      </c>
    </row>
    <row r="73">
      <c r="A73" s="72" t="s">
        <v>1246</v>
      </c>
      <c r="B73" s="72" t="s">
        <v>1247</v>
      </c>
    </row>
    <row r="74">
      <c r="A74" s="71" t="s">
        <v>1248</v>
      </c>
      <c r="B74" s="71" t="s">
        <v>1152</v>
      </c>
    </row>
    <row r="75">
      <c r="A75" s="72" t="s">
        <v>1249</v>
      </c>
      <c r="B75" s="72" t="s">
        <v>1250</v>
      </c>
    </row>
    <row r="76">
      <c r="A76" s="71" t="s">
        <v>1251</v>
      </c>
      <c r="B76" s="71" t="s">
        <v>1252</v>
      </c>
    </row>
    <row r="77">
      <c r="A77" s="72" t="s">
        <v>1253</v>
      </c>
      <c r="B77" s="72" t="s">
        <v>1254</v>
      </c>
    </row>
    <row r="78">
      <c r="A78" s="71" t="s">
        <v>1255</v>
      </c>
      <c r="B78" s="71" t="s">
        <v>1256</v>
      </c>
    </row>
    <row r="79">
      <c r="A79" s="72" t="s">
        <v>1257</v>
      </c>
      <c r="B79" s="72" t="s">
        <v>1258</v>
      </c>
    </row>
    <row r="80">
      <c r="A80" s="71" t="s">
        <v>1259</v>
      </c>
      <c r="B80" s="71" t="s">
        <v>1260</v>
      </c>
    </row>
    <row r="81">
      <c r="A81" s="72" t="s">
        <v>1261</v>
      </c>
      <c r="B81" s="72" t="s">
        <v>1262</v>
      </c>
    </row>
    <row r="82">
      <c r="A82" s="71" t="s">
        <v>1263</v>
      </c>
      <c r="B82" s="71" t="s">
        <v>1264</v>
      </c>
    </row>
    <row r="83">
      <c r="A83" s="72" t="s">
        <v>1265</v>
      </c>
      <c r="B83" s="72" t="s">
        <v>1266</v>
      </c>
    </row>
    <row r="84">
      <c r="A84" s="71" t="s">
        <v>1267</v>
      </c>
      <c r="B84" s="71" t="s">
        <v>1121</v>
      </c>
    </row>
    <row r="85">
      <c r="A85" s="72" t="s">
        <v>1268</v>
      </c>
      <c r="B85" s="72" t="s">
        <v>1179</v>
      </c>
    </row>
    <row r="86">
      <c r="A86" s="71" t="s">
        <v>1269</v>
      </c>
      <c r="B86" s="71" t="s">
        <v>1270</v>
      </c>
    </row>
    <row r="87">
      <c r="A87" s="72" t="s">
        <v>1271</v>
      </c>
      <c r="B87" s="72" t="s">
        <v>1272</v>
      </c>
    </row>
    <row r="88">
      <c r="A88" s="71" t="s">
        <v>1273</v>
      </c>
      <c r="B88" s="71" t="s">
        <v>1274</v>
      </c>
    </row>
    <row r="89">
      <c r="A89" s="72" t="s">
        <v>1275</v>
      </c>
      <c r="B89" s="72" t="s">
        <v>1276</v>
      </c>
    </row>
    <row r="90">
      <c r="A90" s="71" t="s">
        <v>1277</v>
      </c>
      <c r="B90" s="71" t="s">
        <v>1278</v>
      </c>
    </row>
    <row r="91">
      <c r="A91" s="72" t="s">
        <v>1279</v>
      </c>
      <c r="B91" s="72" t="s">
        <v>1280</v>
      </c>
    </row>
    <row r="92">
      <c r="A92" s="71" t="s">
        <v>1281</v>
      </c>
      <c r="B92" s="71" t="s">
        <v>1282</v>
      </c>
    </row>
    <row r="93">
      <c r="A93" s="72" t="s">
        <v>1283</v>
      </c>
      <c r="B93" s="72" t="s">
        <v>1284</v>
      </c>
    </row>
    <row r="94">
      <c r="A94" s="71" t="s">
        <v>1285</v>
      </c>
      <c r="B94" s="71" t="s">
        <v>1286</v>
      </c>
    </row>
    <row r="95">
      <c r="A95" s="72" t="s">
        <v>1287</v>
      </c>
      <c r="B95" s="72" t="s">
        <v>1288</v>
      </c>
    </row>
    <row r="96">
      <c r="A96" s="71" t="s">
        <v>1289</v>
      </c>
      <c r="B96" s="71" t="s">
        <v>1290</v>
      </c>
    </row>
    <row r="97">
      <c r="A97" s="72" t="s">
        <v>1291</v>
      </c>
      <c r="B97" s="72" t="s">
        <v>1292</v>
      </c>
    </row>
    <row r="98">
      <c r="A98" s="71" t="s">
        <v>1293</v>
      </c>
      <c r="B98" s="71" t="s">
        <v>1294</v>
      </c>
    </row>
    <row r="99">
      <c r="A99" s="72" t="s">
        <v>1295</v>
      </c>
      <c r="B99" s="72" t="s">
        <v>1296</v>
      </c>
    </row>
    <row r="100">
      <c r="A100" s="71" t="s">
        <v>1297</v>
      </c>
      <c r="B100" s="71" t="s">
        <v>1298</v>
      </c>
    </row>
    <row r="101">
      <c r="A101" s="72" t="s">
        <v>1299</v>
      </c>
      <c r="B101" s="72" t="s">
        <v>1300</v>
      </c>
    </row>
    <row r="102">
      <c r="A102" s="71" t="s">
        <v>1301</v>
      </c>
      <c r="B102" s="71" t="s">
        <v>1302</v>
      </c>
    </row>
    <row r="103">
      <c r="A103" s="72" t="s">
        <v>1303</v>
      </c>
      <c r="B103" s="72" t="s">
        <v>1304</v>
      </c>
    </row>
    <row r="104">
      <c r="A104" s="71" t="s">
        <v>1305</v>
      </c>
      <c r="B104" s="71" t="s">
        <v>1306</v>
      </c>
    </row>
    <row r="105">
      <c r="A105" s="72" t="s">
        <v>1307</v>
      </c>
      <c r="B105" s="72" t="s">
        <v>1308</v>
      </c>
    </row>
    <row r="106">
      <c r="A106" s="71" t="s">
        <v>1309</v>
      </c>
      <c r="B106" s="71" t="s">
        <v>1310</v>
      </c>
    </row>
    <row r="107">
      <c r="A107" s="72" t="s">
        <v>1311</v>
      </c>
      <c r="B107" s="72" t="s">
        <v>1312</v>
      </c>
    </row>
    <row r="108">
      <c r="A108" s="71" t="s">
        <v>1313</v>
      </c>
      <c r="B108" s="71" t="s">
        <v>1314</v>
      </c>
    </row>
    <row r="109">
      <c r="A109" s="72" t="s">
        <v>1315</v>
      </c>
      <c r="B109" s="72" t="s">
        <v>1199</v>
      </c>
    </row>
    <row r="110">
      <c r="A110" s="71" t="s">
        <v>1316</v>
      </c>
      <c r="B110" s="71" t="s">
        <v>1317</v>
      </c>
    </row>
    <row r="111">
      <c r="A111" s="72" t="s">
        <v>1318</v>
      </c>
      <c r="B111" s="72" t="s">
        <v>1220</v>
      </c>
    </row>
    <row r="112">
      <c r="A112" s="71" t="s">
        <v>1319</v>
      </c>
      <c r="B112" s="71" t="s">
        <v>1320</v>
      </c>
    </row>
    <row r="113">
      <c r="A113" s="72" t="s">
        <v>1321</v>
      </c>
      <c r="B113" s="72" t="s">
        <v>1322</v>
      </c>
    </row>
    <row r="114">
      <c r="A114" s="71" t="s">
        <v>1323</v>
      </c>
      <c r="B114" s="71" t="s">
        <v>1324</v>
      </c>
    </row>
    <row r="115">
      <c r="A115" s="72" t="s">
        <v>1325</v>
      </c>
      <c r="B115" s="72" t="s">
        <v>1326</v>
      </c>
    </row>
    <row r="116">
      <c r="A116" s="71" t="s">
        <v>1327</v>
      </c>
      <c r="B116" s="71" t="s">
        <v>1328</v>
      </c>
    </row>
    <row r="117">
      <c r="A117" s="72" t="s">
        <v>1329</v>
      </c>
      <c r="B117" s="72" t="s">
        <v>1330</v>
      </c>
    </row>
    <row r="118">
      <c r="A118" s="71" t="s">
        <v>1331</v>
      </c>
      <c r="B118" s="71" t="s">
        <v>1169</v>
      </c>
    </row>
    <row r="119">
      <c r="A119" s="72" t="s">
        <v>1332</v>
      </c>
      <c r="B119" s="72" t="s">
        <v>1333</v>
      </c>
    </row>
    <row r="120">
      <c r="A120" s="71" t="s">
        <v>1334</v>
      </c>
      <c r="B120" s="71" t="s">
        <v>1230</v>
      </c>
    </row>
    <row r="121">
      <c r="A121" s="72" t="s">
        <v>1335</v>
      </c>
      <c r="B121" s="72" t="s">
        <v>1113</v>
      </c>
    </row>
    <row r="122">
      <c r="A122" s="71" t="s">
        <v>1336</v>
      </c>
      <c r="B122" s="71" t="s">
        <v>1337</v>
      </c>
    </row>
    <row r="123">
      <c r="A123" s="72" t="s">
        <v>1338</v>
      </c>
      <c r="B123" s="72" t="s">
        <v>1339</v>
      </c>
    </row>
    <row r="124">
      <c r="A124" s="71" t="s">
        <v>1340</v>
      </c>
      <c r="B124" s="71" t="s">
        <v>1341</v>
      </c>
    </row>
    <row r="125">
      <c r="A125" s="72" t="s">
        <v>1342</v>
      </c>
      <c r="B125" s="72" t="s">
        <v>1343</v>
      </c>
    </row>
    <row r="126">
      <c r="A126" s="71" t="s">
        <v>1344</v>
      </c>
      <c r="B126" s="71" t="s">
        <v>1345</v>
      </c>
    </row>
    <row r="127">
      <c r="A127" s="72" t="s">
        <v>1346</v>
      </c>
      <c r="B127" s="72" t="s">
        <v>1284</v>
      </c>
    </row>
    <row r="128">
      <c r="A128" s="71" t="s">
        <v>1347</v>
      </c>
      <c r="B128" s="71" t="s">
        <v>1138</v>
      </c>
    </row>
    <row r="129">
      <c r="A129" s="72" t="s">
        <v>1348</v>
      </c>
      <c r="B129" s="72" t="s">
        <v>1349</v>
      </c>
    </row>
    <row r="130">
      <c r="A130" s="71" t="s">
        <v>1350</v>
      </c>
      <c r="B130" s="71" t="s">
        <v>1351</v>
      </c>
    </row>
    <row r="131">
      <c r="A131" s="72" t="s">
        <v>1352</v>
      </c>
      <c r="B131" s="72" t="s">
        <v>1353</v>
      </c>
    </row>
    <row r="132">
      <c r="A132" s="71" t="s">
        <v>1354</v>
      </c>
      <c r="B132" s="71" t="s">
        <v>1355</v>
      </c>
    </row>
    <row r="133">
      <c r="A133" s="72" t="s">
        <v>1356</v>
      </c>
      <c r="B133" s="72" t="s">
        <v>1132</v>
      </c>
    </row>
    <row r="134">
      <c r="A134" s="71" t="s">
        <v>1357</v>
      </c>
      <c r="B134" s="71" t="s">
        <v>1119</v>
      </c>
    </row>
    <row r="135">
      <c r="A135" s="72" t="s">
        <v>1358</v>
      </c>
      <c r="B135" s="72" t="s">
        <v>1359</v>
      </c>
    </row>
    <row r="136">
      <c r="A136" s="71" t="s">
        <v>1360</v>
      </c>
      <c r="B136" s="71" t="s">
        <v>1167</v>
      </c>
    </row>
    <row r="137">
      <c r="A137" s="72" t="s">
        <v>1361</v>
      </c>
      <c r="B137" s="72" t="s">
        <v>1362</v>
      </c>
    </row>
    <row r="138">
      <c r="A138" s="71" t="s">
        <v>1363</v>
      </c>
      <c r="B138" s="71" t="s">
        <v>1364</v>
      </c>
    </row>
    <row r="139">
      <c r="A139" s="72" t="s">
        <v>1365</v>
      </c>
      <c r="B139" s="72" t="s">
        <v>1366</v>
      </c>
    </row>
    <row r="140">
      <c r="A140" s="71" t="s">
        <v>1367</v>
      </c>
      <c r="B140" s="71" t="s">
        <v>1368</v>
      </c>
    </row>
    <row r="141">
      <c r="A141" s="72" t="s">
        <v>1369</v>
      </c>
      <c r="B141" s="72" t="s">
        <v>1370</v>
      </c>
    </row>
    <row r="142">
      <c r="A142" s="71" t="s">
        <v>1371</v>
      </c>
      <c r="B142" s="71" t="s">
        <v>1372</v>
      </c>
    </row>
    <row r="143">
      <c r="A143" s="72" t="s">
        <v>1373</v>
      </c>
      <c r="B143" s="72" t="s">
        <v>1355</v>
      </c>
    </row>
    <row r="144">
      <c r="A144" s="71" t="s">
        <v>1374</v>
      </c>
      <c r="B144" s="71" t="s">
        <v>1138</v>
      </c>
    </row>
    <row r="145">
      <c r="A145" s="72" t="s">
        <v>1375</v>
      </c>
      <c r="B145" s="72" t="s">
        <v>1280</v>
      </c>
    </row>
    <row r="146">
      <c r="A146" s="71" t="s">
        <v>1376</v>
      </c>
      <c r="B146" s="71" t="s">
        <v>1322</v>
      </c>
    </row>
    <row r="147">
      <c r="A147" s="72" t="s">
        <v>1377</v>
      </c>
      <c r="B147" s="72" t="s">
        <v>1142</v>
      </c>
    </row>
    <row r="148">
      <c r="A148" s="71" t="s">
        <v>1378</v>
      </c>
      <c r="B148" s="71" t="s">
        <v>1205</v>
      </c>
    </row>
    <row r="149">
      <c r="A149" s="72" t="s">
        <v>1379</v>
      </c>
      <c r="B149" s="72" t="s">
        <v>1380</v>
      </c>
    </row>
    <row r="150">
      <c r="A150" s="71" t="s">
        <v>1381</v>
      </c>
      <c r="B150" s="71" t="s">
        <v>1382</v>
      </c>
    </row>
    <row r="151">
      <c r="A151" s="72" t="s">
        <v>1383</v>
      </c>
      <c r="B151" s="72" t="s">
        <v>1384</v>
      </c>
    </row>
    <row r="152">
      <c r="A152" s="71" t="s">
        <v>1385</v>
      </c>
      <c r="B152" s="71" t="s">
        <v>1386</v>
      </c>
    </row>
    <row r="153">
      <c r="A153" s="72" t="s">
        <v>1387</v>
      </c>
      <c r="B153" s="72" t="s">
        <v>1388</v>
      </c>
    </row>
    <row r="154">
      <c r="A154" s="71" t="s">
        <v>1389</v>
      </c>
      <c r="B154" s="71" t="s">
        <v>1390</v>
      </c>
    </row>
    <row r="155">
      <c r="A155" s="72" t="s">
        <v>1391</v>
      </c>
      <c r="B155" s="72" t="s">
        <v>1386</v>
      </c>
    </row>
    <row r="156">
      <c r="A156" s="71" t="s">
        <v>1392</v>
      </c>
      <c r="B156" s="71" t="s">
        <v>1393</v>
      </c>
    </row>
    <row r="157">
      <c r="A157" s="72" t="s">
        <v>1394</v>
      </c>
      <c r="B157" s="72" t="s">
        <v>1250</v>
      </c>
    </row>
    <row r="158">
      <c r="A158" s="71" t="s">
        <v>1395</v>
      </c>
      <c r="B158" s="71" t="s">
        <v>1396</v>
      </c>
    </row>
    <row r="159">
      <c r="A159" s="72" t="s">
        <v>1397</v>
      </c>
      <c r="B159" s="72" t="s">
        <v>1398</v>
      </c>
    </row>
    <row r="160">
      <c r="A160" s="71" t="s">
        <v>1399</v>
      </c>
      <c r="B160" s="71" t="s">
        <v>1400</v>
      </c>
    </row>
    <row r="161">
      <c r="A161" s="72" t="s">
        <v>1401</v>
      </c>
      <c r="B161" s="72" t="s">
        <v>1402</v>
      </c>
    </row>
    <row r="162">
      <c r="A162" s="71" t="s">
        <v>1403</v>
      </c>
      <c r="B162" s="71" t="s">
        <v>1404</v>
      </c>
    </row>
    <row r="163">
      <c r="A163" s="72" t="s">
        <v>1405</v>
      </c>
      <c r="B163" s="72" t="s">
        <v>1406</v>
      </c>
    </row>
    <row r="164">
      <c r="A164" s="71" t="s">
        <v>1407</v>
      </c>
      <c r="B164" s="71" t="s">
        <v>1408</v>
      </c>
    </row>
    <row r="165">
      <c r="A165" s="72" t="s">
        <v>1409</v>
      </c>
      <c r="B165" s="72" t="s">
        <v>1410</v>
      </c>
    </row>
    <row r="166">
      <c r="A166" s="71" t="s">
        <v>1411</v>
      </c>
      <c r="B166" s="71" t="s">
        <v>1412</v>
      </c>
    </row>
    <row r="167">
      <c r="A167" s="72" t="s">
        <v>1413</v>
      </c>
      <c r="B167" s="72" t="s">
        <v>1414</v>
      </c>
    </row>
    <row r="168">
      <c r="A168" s="71" t="s">
        <v>1415</v>
      </c>
      <c r="B168" s="71" t="s">
        <v>1128</v>
      </c>
    </row>
    <row r="169">
      <c r="A169" s="72" t="s">
        <v>1416</v>
      </c>
      <c r="B169" s="72" t="s">
        <v>1417</v>
      </c>
    </row>
    <row r="170">
      <c r="A170" s="71" t="s">
        <v>1418</v>
      </c>
      <c r="B170" s="71" t="s">
        <v>1419</v>
      </c>
    </row>
    <row r="171">
      <c r="A171" s="72" t="s">
        <v>1420</v>
      </c>
      <c r="B171" s="72" t="s">
        <v>1421</v>
      </c>
    </row>
    <row r="172">
      <c r="A172" s="71" t="s">
        <v>1422</v>
      </c>
      <c r="B172" s="71" t="s">
        <v>1423</v>
      </c>
    </row>
    <row r="173">
      <c r="A173" s="72" t="s">
        <v>1424</v>
      </c>
      <c r="B173" s="72" t="s">
        <v>1425</v>
      </c>
    </row>
    <row r="174">
      <c r="A174" s="71" t="s">
        <v>1426</v>
      </c>
      <c r="B174" s="71" t="s">
        <v>1427</v>
      </c>
    </row>
    <row r="175">
      <c r="A175" s="72" t="s">
        <v>1428</v>
      </c>
      <c r="B175" s="72" t="s">
        <v>1429</v>
      </c>
    </row>
    <row r="176">
      <c r="A176" s="71" t="s">
        <v>1430</v>
      </c>
      <c r="B176" s="71" t="s">
        <v>1431</v>
      </c>
    </row>
    <row r="177">
      <c r="A177" s="72" t="s">
        <v>1432</v>
      </c>
      <c r="B177" s="72" t="s">
        <v>1431</v>
      </c>
    </row>
    <row r="178">
      <c r="A178" s="71" t="s">
        <v>1433</v>
      </c>
      <c r="B178" s="71" t="s">
        <v>1224</v>
      </c>
    </row>
    <row r="179">
      <c r="A179" s="72" t="s">
        <v>1434</v>
      </c>
      <c r="B179" s="72" t="s">
        <v>1435</v>
      </c>
    </row>
    <row r="180">
      <c r="A180" s="71" t="s">
        <v>1436</v>
      </c>
      <c r="B180" s="71" t="s">
        <v>1437</v>
      </c>
    </row>
    <row r="181">
      <c r="A181" s="72" t="s">
        <v>1438</v>
      </c>
      <c r="B181" s="72" t="s">
        <v>1181</v>
      </c>
    </row>
    <row r="182">
      <c r="A182" s="71" t="s">
        <v>1439</v>
      </c>
      <c r="B182" s="71" t="s">
        <v>1440</v>
      </c>
    </row>
    <row r="183">
      <c r="A183" s="72" t="s">
        <v>1441</v>
      </c>
      <c r="B183" s="72" t="s">
        <v>1442</v>
      </c>
    </row>
    <row r="184">
      <c r="A184" s="71" t="s">
        <v>1443</v>
      </c>
      <c r="B184" s="71" t="s">
        <v>1444</v>
      </c>
    </row>
    <row r="185">
      <c r="A185" s="72" t="s">
        <v>1445</v>
      </c>
      <c r="B185" s="72" t="s">
        <v>1284</v>
      </c>
    </row>
    <row r="186">
      <c r="A186" s="71" t="s">
        <v>1446</v>
      </c>
      <c r="B186" s="71" t="s">
        <v>1175</v>
      </c>
    </row>
    <row r="187">
      <c r="A187" s="72" t="s">
        <v>1447</v>
      </c>
      <c r="B187" s="72" t="s">
        <v>1228</v>
      </c>
    </row>
    <row r="188">
      <c r="A188" s="71" t="s">
        <v>1448</v>
      </c>
      <c r="B188" s="71" t="s">
        <v>1449</v>
      </c>
    </row>
    <row r="189">
      <c r="A189" s="72" t="s">
        <v>1450</v>
      </c>
      <c r="B189" s="72" t="s">
        <v>1272</v>
      </c>
    </row>
    <row r="190">
      <c r="A190" s="71" t="s">
        <v>1451</v>
      </c>
      <c r="B190" s="71" t="s">
        <v>1117</v>
      </c>
    </row>
    <row r="191">
      <c r="A191" s="72" t="s">
        <v>1452</v>
      </c>
      <c r="B191" s="72" t="s">
        <v>1453</v>
      </c>
    </row>
    <row r="192">
      <c r="A192" s="71" t="s">
        <v>1454</v>
      </c>
      <c r="B192" s="71" t="s">
        <v>1455</v>
      </c>
    </row>
    <row r="193">
      <c r="A193" s="72" t="s">
        <v>1456</v>
      </c>
      <c r="B193" s="72" t="s">
        <v>1457</v>
      </c>
    </row>
    <row r="194">
      <c r="A194" s="71" t="s">
        <v>1458</v>
      </c>
      <c r="B194" s="71" t="s">
        <v>1459</v>
      </c>
    </row>
    <row r="195">
      <c r="A195" s="72" t="s">
        <v>1460</v>
      </c>
      <c r="B195" s="72" t="s">
        <v>1250</v>
      </c>
    </row>
    <row r="196">
      <c r="A196" s="71" t="s">
        <v>1461</v>
      </c>
      <c r="B196" s="71" t="s">
        <v>1462</v>
      </c>
    </row>
    <row r="197">
      <c r="A197" s="72" t="s">
        <v>1463</v>
      </c>
      <c r="B197" s="72" t="s">
        <v>1464</v>
      </c>
    </row>
    <row r="198">
      <c r="A198" s="71" t="s">
        <v>1465</v>
      </c>
      <c r="B198" s="71" t="s">
        <v>1146</v>
      </c>
    </row>
    <row r="199">
      <c r="A199" s="72" t="s">
        <v>1466</v>
      </c>
      <c r="B199" s="72" t="s">
        <v>1467</v>
      </c>
    </row>
    <row r="200">
      <c r="A200" s="71" t="s">
        <v>1468</v>
      </c>
      <c r="B200" s="71" t="s">
        <v>1469</v>
      </c>
    </row>
    <row r="201">
      <c r="A201" s="72" t="s">
        <v>1470</v>
      </c>
      <c r="B201" s="72" t="s">
        <v>1471</v>
      </c>
    </row>
    <row r="202">
      <c r="A202" s="71" t="s">
        <v>1472</v>
      </c>
      <c r="B202" s="71" t="s">
        <v>1355</v>
      </c>
    </row>
    <row r="203">
      <c r="A203" s="72" t="s">
        <v>1473</v>
      </c>
      <c r="B203" s="72" t="s">
        <v>1419</v>
      </c>
    </row>
    <row r="204">
      <c r="A204" s="71" t="s">
        <v>1474</v>
      </c>
      <c r="B204" s="71" t="s">
        <v>1475</v>
      </c>
    </row>
    <row r="205">
      <c r="A205" s="72" t="s">
        <v>1476</v>
      </c>
      <c r="B205" s="72" t="s">
        <v>1477</v>
      </c>
    </row>
    <row r="206">
      <c r="A206" s="71" t="s">
        <v>1478</v>
      </c>
      <c r="B206" s="71" t="s">
        <v>1479</v>
      </c>
    </row>
    <row r="207">
      <c r="A207" s="72" t="s">
        <v>1480</v>
      </c>
      <c r="B207" s="72" t="s">
        <v>1481</v>
      </c>
    </row>
    <row r="208">
      <c r="A208" s="71" t="s">
        <v>1482</v>
      </c>
      <c r="B208" s="71" t="s">
        <v>1386</v>
      </c>
    </row>
    <row r="209">
      <c r="A209" s="72" t="s">
        <v>1483</v>
      </c>
      <c r="B209" s="72" t="s">
        <v>1484</v>
      </c>
    </row>
    <row r="210">
      <c r="A210" s="71" t="s">
        <v>1485</v>
      </c>
      <c r="B210" s="71" t="s">
        <v>1486</v>
      </c>
    </row>
    <row r="211">
      <c r="A211" s="72" t="s">
        <v>1487</v>
      </c>
      <c r="B211" s="72" t="s">
        <v>1119</v>
      </c>
    </row>
    <row r="212">
      <c r="A212" s="71" t="s">
        <v>1488</v>
      </c>
      <c r="B212" s="71" t="s">
        <v>1489</v>
      </c>
    </row>
    <row r="213">
      <c r="A213" s="72" t="s">
        <v>1490</v>
      </c>
      <c r="B213" s="72" t="s">
        <v>1491</v>
      </c>
    </row>
    <row r="214">
      <c r="A214" s="71" t="s">
        <v>1492</v>
      </c>
      <c r="B214" s="71" t="s">
        <v>1493</v>
      </c>
    </row>
    <row r="215">
      <c r="A215" s="72" t="s">
        <v>1494</v>
      </c>
      <c r="B215" s="72" t="s">
        <v>1495</v>
      </c>
    </row>
    <row r="216">
      <c r="A216" s="71" t="s">
        <v>1496</v>
      </c>
      <c r="B216" s="71" t="s">
        <v>1136</v>
      </c>
    </row>
    <row r="217">
      <c r="A217" s="72" t="s">
        <v>1497</v>
      </c>
      <c r="B217" s="72" t="s">
        <v>1498</v>
      </c>
    </row>
    <row r="218">
      <c r="A218" s="71" t="s">
        <v>1499</v>
      </c>
      <c r="B218" s="71" t="s">
        <v>1199</v>
      </c>
    </row>
    <row r="219">
      <c r="A219" s="72" t="s">
        <v>1500</v>
      </c>
      <c r="B219" s="72" t="s">
        <v>1501</v>
      </c>
    </row>
    <row r="220">
      <c r="A220" s="71" t="s">
        <v>1502</v>
      </c>
      <c r="B220" s="71" t="s">
        <v>1503</v>
      </c>
    </row>
    <row r="221">
      <c r="A221" s="72" t="s">
        <v>1504</v>
      </c>
      <c r="B221" s="72" t="s">
        <v>1505</v>
      </c>
    </row>
    <row r="222">
      <c r="A222" s="71" t="s">
        <v>1506</v>
      </c>
      <c r="B222" s="71" t="s">
        <v>1507</v>
      </c>
    </row>
    <row r="223">
      <c r="A223" s="72" t="s">
        <v>1508</v>
      </c>
      <c r="B223" s="72" t="s">
        <v>1509</v>
      </c>
    </row>
    <row r="224">
      <c r="A224" s="71" t="s">
        <v>1510</v>
      </c>
      <c r="B224" s="71" t="s">
        <v>1511</v>
      </c>
    </row>
    <row r="225">
      <c r="A225" s="72" t="s">
        <v>1512</v>
      </c>
      <c r="B225" s="72" t="s">
        <v>1513</v>
      </c>
    </row>
    <row r="226">
      <c r="A226" s="71" t="s">
        <v>1514</v>
      </c>
      <c r="B226" s="71" t="s">
        <v>1187</v>
      </c>
    </row>
    <row r="227">
      <c r="A227" s="72" t="s">
        <v>1515</v>
      </c>
      <c r="B227" s="72" t="s">
        <v>1294</v>
      </c>
    </row>
    <row r="228">
      <c r="A228" s="71" t="s">
        <v>1516</v>
      </c>
      <c r="B228" s="71" t="s">
        <v>1183</v>
      </c>
    </row>
    <row r="229">
      <c r="A229" s="72" t="s">
        <v>1517</v>
      </c>
      <c r="B229" s="72" t="s">
        <v>1518</v>
      </c>
    </row>
    <row r="230">
      <c r="A230" s="71" t="s">
        <v>1519</v>
      </c>
      <c r="B230" s="71" t="s">
        <v>1520</v>
      </c>
    </row>
    <row r="231">
      <c r="A231" s="72" t="s">
        <v>1521</v>
      </c>
      <c r="B231" s="72" t="s">
        <v>1522</v>
      </c>
    </row>
    <row r="232">
      <c r="A232" s="71" t="s">
        <v>1523</v>
      </c>
      <c r="B232" s="71" t="s">
        <v>1524</v>
      </c>
    </row>
    <row r="233">
      <c r="A233" s="72" t="s">
        <v>1525</v>
      </c>
      <c r="B233" s="72" t="s">
        <v>1526</v>
      </c>
    </row>
    <row r="234">
      <c r="A234" s="71" t="s">
        <v>1527</v>
      </c>
      <c r="B234" s="71" t="s">
        <v>1181</v>
      </c>
    </row>
    <row r="235">
      <c r="A235" s="72" t="s">
        <v>1528</v>
      </c>
      <c r="B235" s="72" t="s">
        <v>1529</v>
      </c>
    </row>
    <row r="236">
      <c r="A236" s="71" t="s">
        <v>1530</v>
      </c>
      <c r="B236" s="71" t="s">
        <v>1531</v>
      </c>
    </row>
    <row r="237">
      <c r="A237" s="72" t="s">
        <v>1532</v>
      </c>
      <c r="B237" s="72" t="s">
        <v>1533</v>
      </c>
    </row>
    <row r="238">
      <c r="A238" s="71" t="s">
        <v>1534</v>
      </c>
      <c r="B238" s="71" t="s">
        <v>1535</v>
      </c>
    </row>
    <row r="239">
      <c r="A239" s="72" t="s">
        <v>1536</v>
      </c>
      <c r="B239" s="72" t="s">
        <v>1537</v>
      </c>
    </row>
    <row r="240">
      <c r="A240" s="71" t="s">
        <v>1538</v>
      </c>
      <c r="B240" s="71" t="s">
        <v>1539</v>
      </c>
    </row>
    <row r="241">
      <c r="A241" s="72" t="s">
        <v>1540</v>
      </c>
      <c r="B241" s="72" t="s">
        <v>1541</v>
      </c>
    </row>
    <row r="242">
      <c r="A242" s="71" t="s">
        <v>1542</v>
      </c>
      <c r="B242" s="71" t="s">
        <v>1543</v>
      </c>
    </row>
    <row r="243">
      <c r="A243" s="72" t="s">
        <v>1544</v>
      </c>
      <c r="B243" s="72" t="s">
        <v>1545</v>
      </c>
    </row>
    <row r="244">
      <c r="A244" s="71" t="s">
        <v>1546</v>
      </c>
      <c r="B244" s="71" t="s">
        <v>1125</v>
      </c>
    </row>
    <row r="245">
      <c r="A245" s="72" t="s">
        <v>1547</v>
      </c>
      <c r="B245" s="72" t="s">
        <v>1382</v>
      </c>
    </row>
    <row r="246">
      <c r="A246" s="71" t="s">
        <v>1548</v>
      </c>
      <c r="B246" s="71" t="s">
        <v>1549</v>
      </c>
    </row>
    <row r="247">
      <c r="A247" s="72" t="s">
        <v>1550</v>
      </c>
      <c r="B247" s="72" t="s">
        <v>1328</v>
      </c>
    </row>
    <row r="248">
      <c r="A248" s="71" t="s">
        <v>1551</v>
      </c>
      <c r="B248" s="71" t="s">
        <v>1552</v>
      </c>
    </row>
    <row r="249">
      <c r="A249" s="72" t="s">
        <v>1553</v>
      </c>
      <c r="B249" s="72" t="s">
        <v>1554</v>
      </c>
    </row>
    <row r="250">
      <c r="A250" s="71" t="s">
        <v>1555</v>
      </c>
      <c r="B250" s="71" t="s">
        <v>1119</v>
      </c>
    </row>
    <row r="251">
      <c r="A251" s="72" t="s">
        <v>1556</v>
      </c>
      <c r="B251" s="72" t="s">
        <v>1343</v>
      </c>
    </row>
    <row r="252">
      <c r="A252" s="71" t="s">
        <v>1557</v>
      </c>
      <c r="B252" s="71" t="s">
        <v>1558</v>
      </c>
    </row>
    <row r="253">
      <c r="A253" s="72" t="s">
        <v>1559</v>
      </c>
      <c r="B253" s="72" t="s">
        <v>1213</v>
      </c>
    </row>
    <row r="254">
      <c r="A254" s="71" t="s">
        <v>1560</v>
      </c>
      <c r="B254" s="71" t="s">
        <v>1561</v>
      </c>
    </row>
    <row r="255">
      <c r="A255" s="72" t="s">
        <v>1562</v>
      </c>
      <c r="B255" s="72" t="s">
        <v>1563</v>
      </c>
    </row>
    <row r="256">
      <c r="A256" s="71" t="s">
        <v>1564</v>
      </c>
      <c r="B256" s="71" t="s">
        <v>1563</v>
      </c>
    </row>
    <row r="257">
      <c r="A257" s="72" t="s">
        <v>1565</v>
      </c>
      <c r="B257" s="72" t="s">
        <v>1431</v>
      </c>
    </row>
    <row r="258">
      <c r="A258" s="71" t="s">
        <v>1566</v>
      </c>
      <c r="B258" s="71" t="s">
        <v>1567</v>
      </c>
    </row>
    <row r="259">
      <c r="A259" s="72" t="s">
        <v>1568</v>
      </c>
      <c r="B259" s="72" t="s">
        <v>1230</v>
      </c>
    </row>
    <row r="260">
      <c r="A260" s="71" t="s">
        <v>1569</v>
      </c>
      <c r="B260" s="71" t="s">
        <v>1570</v>
      </c>
    </row>
    <row r="261">
      <c r="A261" s="72" t="s">
        <v>1571</v>
      </c>
      <c r="B261" s="72" t="s">
        <v>1351</v>
      </c>
    </row>
    <row r="262">
      <c r="A262" s="71" t="s">
        <v>1572</v>
      </c>
      <c r="B262" s="71" t="s">
        <v>1113</v>
      </c>
    </row>
    <row r="263">
      <c r="A263" s="72" t="s">
        <v>1573</v>
      </c>
      <c r="B263" s="72" t="s">
        <v>1495</v>
      </c>
    </row>
    <row r="264">
      <c r="A264" s="71" t="s">
        <v>1574</v>
      </c>
      <c r="B264" s="71" t="s">
        <v>1575</v>
      </c>
    </row>
    <row r="265">
      <c r="A265" s="72" t="s">
        <v>1576</v>
      </c>
      <c r="B265" s="72" t="s">
        <v>1179</v>
      </c>
    </row>
    <row r="266">
      <c r="A266" s="71" t="s">
        <v>1577</v>
      </c>
      <c r="B266" s="71" t="s">
        <v>1578</v>
      </c>
    </row>
    <row r="267">
      <c r="A267" s="72" t="s">
        <v>1579</v>
      </c>
      <c r="B267" s="72" t="s">
        <v>1580</v>
      </c>
    </row>
    <row r="268">
      <c r="A268" s="71" t="s">
        <v>1581</v>
      </c>
      <c r="B268" s="71" t="s">
        <v>1211</v>
      </c>
    </row>
    <row r="269">
      <c r="A269" s="72" t="s">
        <v>1582</v>
      </c>
      <c r="B269" s="72" t="s">
        <v>1136</v>
      </c>
    </row>
    <row r="270">
      <c r="A270" s="71" t="s">
        <v>1583</v>
      </c>
      <c r="B270" s="71" t="s">
        <v>1584</v>
      </c>
    </row>
    <row r="271">
      <c r="A271" s="72" t="s">
        <v>1585</v>
      </c>
      <c r="B271" s="72" t="s">
        <v>1254</v>
      </c>
    </row>
    <row r="272">
      <c r="A272" s="71" t="s">
        <v>1586</v>
      </c>
      <c r="B272" s="71" t="s">
        <v>1298</v>
      </c>
    </row>
    <row r="273">
      <c r="A273" s="72" t="s">
        <v>1587</v>
      </c>
      <c r="B273" s="72" t="s">
        <v>1588</v>
      </c>
    </row>
    <row r="274">
      <c r="A274" s="71" t="s">
        <v>1589</v>
      </c>
      <c r="B274" s="71" t="s">
        <v>1590</v>
      </c>
    </row>
    <row r="275">
      <c r="A275" s="72" t="s">
        <v>1591</v>
      </c>
      <c r="B275" s="72" t="s">
        <v>1218</v>
      </c>
    </row>
    <row r="276">
      <c r="A276" s="71" t="s">
        <v>1592</v>
      </c>
      <c r="B276" s="71" t="s">
        <v>1593</v>
      </c>
    </row>
    <row r="277">
      <c r="A277" s="72" t="s">
        <v>1594</v>
      </c>
      <c r="B277" s="72" t="s">
        <v>1595</v>
      </c>
    </row>
    <row r="278">
      <c r="A278" s="71" t="s">
        <v>1596</v>
      </c>
      <c r="B278" s="71" t="s">
        <v>1595</v>
      </c>
    </row>
    <row r="279">
      <c r="A279" s="72" t="s">
        <v>1597</v>
      </c>
      <c r="B279" s="72" t="s">
        <v>1138</v>
      </c>
    </row>
    <row r="280">
      <c r="A280" s="71" t="s">
        <v>1598</v>
      </c>
      <c r="B280" s="71" t="s">
        <v>1599</v>
      </c>
    </row>
    <row r="281">
      <c r="A281" s="72" t="s">
        <v>1600</v>
      </c>
      <c r="B281" s="72" t="s">
        <v>1601</v>
      </c>
    </row>
    <row r="282">
      <c r="A282" s="71" t="s">
        <v>1602</v>
      </c>
      <c r="B282" s="71" t="s">
        <v>1181</v>
      </c>
    </row>
    <row r="283">
      <c r="A283" s="72" t="s">
        <v>1603</v>
      </c>
      <c r="B283" s="72" t="s">
        <v>1604</v>
      </c>
    </row>
    <row r="284">
      <c r="A284" s="71" t="s">
        <v>1605</v>
      </c>
      <c r="B284" s="71" t="s">
        <v>1197</v>
      </c>
    </row>
    <row r="285">
      <c r="A285" s="72" t="s">
        <v>1606</v>
      </c>
      <c r="B285" s="72" t="s">
        <v>1607</v>
      </c>
    </row>
    <row r="286">
      <c r="A286" s="71" t="s">
        <v>1608</v>
      </c>
      <c r="B286" s="71" t="s">
        <v>1609</v>
      </c>
    </row>
    <row r="287">
      <c r="A287" s="72" t="s">
        <v>1610</v>
      </c>
      <c r="B287" s="72" t="s">
        <v>1611</v>
      </c>
    </row>
    <row r="288">
      <c r="A288" s="71" t="s">
        <v>1612</v>
      </c>
      <c r="B288" s="71" t="s">
        <v>1613</v>
      </c>
    </row>
    <row r="289">
      <c r="A289" s="72" t="s">
        <v>1614</v>
      </c>
      <c r="B289" s="72" t="s">
        <v>1181</v>
      </c>
    </row>
    <row r="290">
      <c r="A290" s="71" t="s">
        <v>1615</v>
      </c>
      <c r="B290" s="71" t="s">
        <v>1138</v>
      </c>
    </row>
    <row r="291">
      <c r="A291" s="72" t="s">
        <v>1616</v>
      </c>
      <c r="B291" s="72" t="s">
        <v>1179</v>
      </c>
    </row>
    <row r="292">
      <c r="A292" s="71" t="s">
        <v>1617</v>
      </c>
      <c r="B292" s="71" t="s">
        <v>1266</v>
      </c>
    </row>
    <row r="293">
      <c r="A293" s="72" t="s">
        <v>1618</v>
      </c>
      <c r="B293" s="72" t="s">
        <v>1619</v>
      </c>
    </row>
    <row r="294">
      <c r="A294" s="71" t="s">
        <v>1620</v>
      </c>
      <c r="B294" s="71" t="s">
        <v>1138</v>
      </c>
    </row>
    <row r="295">
      <c r="A295" s="72" t="s">
        <v>1621</v>
      </c>
      <c r="B295" s="72" t="s">
        <v>1187</v>
      </c>
    </row>
    <row r="296">
      <c r="A296" s="71" t="s">
        <v>1622</v>
      </c>
      <c r="B296" s="71" t="s">
        <v>1203</v>
      </c>
    </row>
    <row r="297">
      <c r="A297" s="72" t="s">
        <v>1623</v>
      </c>
      <c r="B297" s="72" t="s">
        <v>1624</v>
      </c>
    </row>
    <row r="298">
      <c r="A298" s="71" t="s">
        <v>1625</v>
      </c>
      <c r="B298" s="71" t="s">
        <v>1167</v>
      </c>
    </row>
    <row r="299">
      <c r="A299" s="72" t="s">
        <v>1626</v>
      </c>
      <c r="B299" s="72" t="s">
        <v>1627</v>
      </c>
    </row>
    <row r="300">
      <c r="A300" s="71" t="s">
        <v>1628</v>
      </c>
      <c r="B300" s="71" t="s">
        <v>1629</v>
      </c>
    </row>
    <row r="301">
      <c r="A301" s="72" t="s">
        <v>1630</v>
      </c>
      <c r="B301" s="72" t="s">
        <v>1128</v>
      </c>
    </row>
    <row r="302">
      <c r="A302" s="71" t="s">
        <v>1631</v>
      </c>
      <c r="B302" s="71" t="s">
        <v>1322</v>
      </c>
    </row>
    <row r="303">
      <c r="A303" s="72" t="s">
        <v>1632</v>
      </c>
      <c r="B303" s="72" t="s">
        <v>1380</v>
      </c>
    </row>
    <row r="304">
      <c r="A304" s="71" t="s">
        <v>1633</v>
      </c>
      <c r="B304" s="71" t="s">
        <v>1117</v>
      </c>
    </row>
    <row r="305">
      <c r="A305" s="72" t="s">
        <v>1634</v>
      </c>
      <c r="B305" s="72" t="s">
        <v>1419</v>
      </c>
    </row>
    <row r="306">
      <c r="A306" s="71" t="s">
        <v>1635</v>
      </c>
      <c r="B306" s="71" t="s">
        <v>1636</v>
      </c>
    </row>
    <row r="307">
      <c r="A307" s="72" t="s">
        <v>1637</v>
      </c>
      <c r="B307" s="72" t="s">
        <v>1590</v>
      </c>
    </row>
    <row r="308">
      <c r="A308" s="71" t="s">
        <v>1638</v>
      </c>
      <c r="B308" s="71" t="s">
        <v>1435</v>
      </c>
    </row>
    <row r="309">
      <c r="A309" s="72" t="s">
        <v>1639</v>
      </c>
      <c r="B309" s="72" t="s">
        <v>1419</v>
      </c>
    </row>
    <row r="310">
      <c r="A310" s="71" t="s">
        <v>1640</v>
      </c>
      <c r="B310" s="71" t="s">
        <v>1641</v>
      </c>
    </row>
    <row r="311">
      <c r="A311" s="72" t="s">
        <v>1642</v>
      </c>
      <c r="B311" s="72" t="s">
        <v>1643</v>
      </c>
    </row>
    <row r="312">
      <c r="A312" s="71" t="s">
        <v>1644</v>
      </c>
      <c r="B312" s="71" t="s">
        <v>1645</v>
      </c>
    </row>
    <row r="313">
      <c r="A313" s="72" t="s">
        <v>1646</v>
      </c>
      <c r="B313" s="72" t="s">
        <v>1647</v>
      </c>
    </row>
    <row r="314">
      <c r="A314" s="71" t="s">
        <v>1648</v>
      </c>
      <c r="B314" s="71" t="s">
        <v>1649</v>
      </c>
    </row>
    <row r="315">
      <c r="A315" s="72" t="s">
        <v>1650</v>
      </c>
      <c r="B315" s="72" t="s">
        <v>1260</v>
      </c>
    </row>
    <row r="316">
      <c r="A316" s="71" t="s">
        <v>1651</v>
      </c>
      <c r="B316" s="71" t="s">
        <v>1138</v>
      </c>
    </row>
    <row r="317">
      <c r="A317" s="72" t="s">
        <v>1652</v>
      </c>
      <c r="B317" s="72" t="s">
        <v>1653</v>
      </c>
    </row>
    <row r="318">
      <c r="A318" s="71" t="s">
        <v>1654</v>
      </c>
      <c r="B318" s="71" t="s">
        <v>1655</v>
      </c>
    </row>
    <row r="319">
      <c r="A319" s="72" t="s">
        <v>1656</v>
      </c>
      <c r="B319" s="72" t="s">
        <v>1657</v>
      </c>
    </row>
    <row r="320">
      <c r="A320" s="71" t="s">
        <v>1658</v>
      </c>
      <c r="B320" s="71" t="s">
        <v>1322</v>
      </c>
    </row>
    <row r="321">
      <c r="A321" s="72" t="s">
        <v>1659</v>
      </c>
      <c r="B321" s="72" t="s">
        <v>1660</v>
      </c>
    </row>
    <row r="322">
      <c r="A322" s="71" t="s">
        <v>1661</v>
      </c>
      <c r="B322" s="71" t="s">
        <v>1662</v>
      </c>
    </row>
    <row r="323">
      <c r="A323" s="72" t="s">
        <v>1663</v>
      </c>
      <c r="B323" s="72" t="s">
        <v>1495</v>
      </c>
    </row>
    <row r="324">
      <c r="A324" s="71" t="s">
        <v>1664</v>
      </c>
      <c r="B324" s="71" t="s">
        <v>1343</v>
      </c>
    </row>
    <row r="325">
      <c r="A325" s="72" t="s">
        <v>1665</v>
      </c>
      <c r="B325" s="72" t="s">
        <v>1382</v>
      </c>
    </row>
    <row r="326">
      <c r="A326" s="71" t="s">
        <v>1666</v>
      </c>
      <c r="B326" s="71" t="s">
        <v>1667</v>
      </c>
    </row>
    <row r="327">
      <c r="A327" s="72" t="s">
        <v>1668</v>
      </c>
      <c r="B327" s="72" t="s">
        <v>1669</v>
      </c>
    </row>
    <row r="328">
      <c r="A328" s="71" t="s">
        <v>1670</v>
      </c>
      <c r="B328" s="71" t="s">
        <v>1205</v>
      </c>
    </row>
    <row r="329">
      <c r="A329" s="72" t="s">
        <v>1671</v>
      </c>
      <c r="B329" s="72" t="s">
        <v>1672</v>
      </c>
    </row>
    <row r="330">
      <c r="A330" s="71" t="s">
        <v>1673</v>
      </c>
      <c r="B330" s="71" t="s">
        <v>1429</v>
      </c>
    </row>
    <row r="331">
      <c r="A331" s="72" t="s">
        <v>1674</v>
      </c>
      <c r="B331" s="72" t="s">
        <v>1675</v>
      </c>
    </row>
    <row r="332">
      <c r="A332" s="71" t="s">
        <v>1676</v>
      </c>
      <c r="B332" s="71" t="s">
        <v>1677</v>
      </c>
    </row>
    <row r="333">
      <c r="A333" s="72" t="s">
        <v>1678</v>
      </c>
      <c r="B333" s="72" t="s">
        <v>1322</v>
      </c>
    </row>
    <row r="334">
      <c r="A334" s="71" t="s">
        <v>1679</v>
      </c>
      <c r="B334" s="71" t="s">
        <v>1680</v>
      </c>
    </row>
    <row r="335">
      <c r="A335" s="72" t="s">
        <v>1681</v>
      </c>
      <c r="B335" s="72" t="s">
        <v>1682</v>
      </c>
    </row>
    <row r="336">
      <c r="A336" s="71" t="s">
        <v>1683</v>
      </c>
      <c r="B336" s="71" t="s">
        <v>1684</v>
      </c>
    </row>
    <row r="337">
      <c r="A337" s="72" t="s">
        <v>1685</v>
      </c>
      <c r="B337" s="72" t="s">
        <v>1169</v>
      </c>
    </row>
    <row r="338">
      <c r="A338" s="71" t="s">
        <v>1686</v>
      </c>
      <c r="B338" s="71" t="s">
        <v>1159</v>
      </c>
    </row>
    <row r="339">
      <c r="A339" s="72" t="s">
        <v>1687</v>
      </c>
      <c r="B339" s="72" t="s">
        <v>1688</v>
      </c>
    </row>
    <row r="340">
      <c r="A340" s="71" t="s">
        <v>1689</v>
      </c>
      <c r="B340" s="71" t="s">
        <v>1242</v>
      </c>
    </row>
    <row r="341">
      <c r="A341" s="72" t="s">
        <v>1690</v>
      </c>
      <c r="B341" s="72" t="s">
        <v>1691</v>
      </c>
    </row>
    <row r="342">
      <c r="A342" s="71" t="s">
        <v>1692</v>
      </c>
      <c r="B342" s="71" t="s">
        <v>1419</v>
      </c>
    </row>
    <row r="343">
      <c r="A343" s="72" t="s">
        <v>1693</v>
      </c>
      <c r="B343" s="72" t="s">
        <v>1694</v>
      </c>
    </row>
    <row r="344">
      <c r="A344" s="71" t="s">
        <v>1695</v>
      </c>
      <c r="B344" s="71" t="s">
        <v>1284</v>
      </c>
    </row>
    <row r="345">
      <c r="A345" s="72" t="s">
        <v>1696</v>
      </c>
      <c r="B345" s="72" t="s">
        <v>1697</v>
      </c>
    </row>
    <row r="346">
      <c r="A346" s="71" t="s">
        <v>1698</v>
      </c>
      <c r="B346" s="71" t="s">
        <v>1187</v>
      </c>
    </row>
    <row r="347">
      <c r="A347" s="72" t="s">
        <v>1699</v>
      </c>
      <c r="B347" s="72" t="s">
        <v>1700</v>
      </c>
    </row>
    <row r="348">
      <c r="A348" s="71" t="s">
        <v>1701</v>
      </c>
      <c r="B348" s="71" t="s">
        <v>1702</v>
      </c>
    </row>
    <row r="349">
      <c r="A349" s="72" t="s">
        <v>1703</v>
      </c>
      <c r="B349" s="72" t="s">
        <v>1406</v>
      </c>
    </row>
    <row r="350">
      <c r="A350" s="71" t="s">
        <v>1704</v>
      </c>
      <c r="B350" s="71" t="s">
        <v>1187</v>
      </c>
    </row>
    <row r="351">
      <c r="A351" s="72" t="s">
        <v>1705</v>
      </c>
      <c r="B351" s="72" t="s">
        <v>1706</v>
      </c>
    </row>
    <row r="352">
      <c r="A352" s="71" t="s">
        <v>1707</v>
      </c>
      <c r="B352" s="71" t="s">
        <v>1708</v>
      </c>
    </row>
    <row r="353">
      <c r="A353" s="72" t="s">
        <v>1709</v>
      </c>
      <c r="B353" s="72" t="s">
        <v>1710</v>
      </c>
    </row>
    <row r="354">
      <c r="A354" s="71" t="s">
        <v>1711</v>
      </c>
      <c r="B354" s="71" t="s">
        <v>1712</v>
      </c>
    </row>
    <row r="355">
      <c r="A355" s="72" t="s">
        <v>1713</v>
      </c>
      <c r="B355" s="72" t="s">
        <v>1714</v>
      </c>
    </row>
    <row r="356">
      <c r="A356" s="71" t="s">
        <v>1715</v>
      </c>
      <c r="B356" s="71" t="s">
        <v>1343</v>
      </c>
    </row>
    <row r="357">
      <c r="A357" s="72" t="s">
        <v>1716</v>
      </c>
      <c r="B357" s="72" t="s">
        <v>1717</v>
      </c>
    </row>
    <row r="358">
      <c r="A358" s="71" t="s">
        <v>1718</v>
      </c>
      <c r="B358" s="71" t="s">
        <v>1672</v>
      </c>
    </row>
    <row r="359">
      <c r="A359" s="72" t="s">
        <v>1719</v>
      </c>
      <c r="B359" s="72" t="s">
        <v>1343</v>
      </c>
    </row>
    <row r="360">
      <c r="A360" s="71" t="s">
        <v>1720</v>
      </c>
      <c r="B360" s="71" t="s">
        <v>1721</v>
      </c>
    </row>
    <row r="361">
      <c r="A361" s="72" t="s">
        <v>1722</v>
      </c>
      <c r="B361" s="72" t="s">
        <v>1274</v>
      </c>
    </row>
    <row r="362">
      <c r="A362" s="71" t="s">
        <v>1723</v>
      </c>
      <c r="B362" s="71" t="s">
        <v>1113</v>
      </c>
    </row>
    <row r="363">
      <c r="A363" s="72" t="s">
        <v>1724</v>
      </c>
      <c r="B363" s="72" t="s">
        <v>1725</v>
      </c>
    </row>
    <row r="364">
      <c r="A364" s="71" t="s">
        <v>1726</v>
      </c>
      <c r="B364" s="71" t="s">
        <v>1727</v>
      </c>
    </row>
    <row r="365">
      <c r="A365" s="72" t="s">
        <v>1728</v>
      </c>
      <c r="B365" s="72" t="s">
        <v>1729</v>
      </c>
    </row>
    <row r="366">
      <c r="A366" s="71" t="s">
        <v>1730</v>
      </c>
      <c r="B366" s="71" t="s">
        <v>1694</v>
      </c>
    </row>
    <row r="367">
      <c r="A367" s="72" t="s">
        <v>1731</v>
      </c>
      <c r="B367" s="72" t="s">
        <v>1310</v>
      </c>
    </row>
    <row r="368">
      <c r="A368" s="71" t="s">
        <v>1732</v>
      </c>
      <c r="B368" s="71" t="s">
        <v>1733</v>
      </c>
    </row>
    <row r="369">
      <c r="A369" s="72" t="s">
        <v>1734</v>
      </c>
      <c r="B369" s="72" t="s">
        <v>1590</v>
      </c>
    </row>
    <row r="370">
      <c r="A370" s="71" t="s">
        <v>1735</v>
      </c>
      <c r="B370" s="71" t="s">
        <v>1641</v>
      </c>
    </row>
    <row r="371">
      <c r="A371" s="72" t="s">
        <v>1736</v>
      </c>
      <c r="B371" s="72" t="s">
        <v>1737</v>
      </c>
    </row>
    <row r="372">
      <c r="A372" s="71" t="s">
        <v>1738</v>
      </c>
      <c r="B372" s="71" t="s">
        <v>1739</v>
      </c>
    </row>
    <row r="373">
      <c r="A373" s="72" t="s">
        <v>1740</v>
      </c>
      <c r="B373" s="72" t="s">
        <v>1156</v>
      </c>
    </row>
    <row r="374">
      <c r="A374" s="71" t="s">
        <v>1741</v>
      </c>
      <c r="B374" s="71" t="s">
        <v>1742</v>
      </c>
    </row>
    <row r="375">
      <c r="A375" s="72" t="s">
        <v>1743</v>
      </c>
      <c r="B375" s="72" t="s">
        <v>1744</v>
      </c>
    </row>
    <row r="376">
      <c r="A376" s="71" t="s">
        <v>1745</v>
      </c>
      <c r="B376" s="71" t="s">
        <v>1746</v>
      </c>
    </row>
    <row r="377">
      <c r="A377" s="72" t="s">
        <v>1747</v>
      </c>
      <c r="B377" s="72" t="s">
        <v>1282</v>
      </c>
    </row>
    <row r="378">
      <c r="A378" s="71" t="s">
        <v>1748</v>
      </c>
      <c r="B378" s="71" t="s">
        <v>1119</v>
      </c>
    </row>
    <row r="379">
      <c r="A379" s="72" t="s">
        <v>1749</v>
      </c>
      <c r="B379" s="72" t="s">
        <v>1717</v>
      </c>
    </row>
    <row r="380">
      <c r="A380" s="71" t="s">
        <v>1750</v>
      </c>
      <c r="B380" s="71" t="s">
        <v>1199</v>
      </c>
    </row>
    <row r="381">
      <c r="A381" s="72" t="s">
        <v>1751</v>
      </c>
      <c r="B381" s="72" t="s">
        <v>1752</v>
      </c>
    </row>
    <row r="382">
      <c r="A382" s="71" t="s">
        <v>1753</v>
      </c>
      <c r="B382" s="71" t="s">
        <v>1132</v>
      </c>
    </row>
    <row r="383">
      <c r="A383" s="72" t="s">
        <v>1754</v>
      </c>
      <c r="B383" s="72" t="s">
        <v>1755</v>
      </c>
    </row>
    <row r="384">
      <c r="A384" s="71" t="s">
        <v>1756</v>
      </c>
      <c r="B384" s="71" t="s">
        <v>1132</v>
      </c>
    </row>
    <row r="385">
      <c r="A385" s="72" t="s">
        <v>1757</v>
      </c>
      <c r="B385" s="72" t="s">
        <v>1386</v>
      </c>
    </row>
    <row r="386">
      <c r="A386" s="71" t="s">
        <v>1758</v>
      </c>
      <c r="B386" s="71" t="s">
        <v>1694</v>
      </c>
    </row>
    <row r="387">
      <c r="A387" s="72" t="s">
        <v>1759</v>
      </c>
      <c r="B387" s="72" t="s">
        <v>1760</v>
      </c>
    </row>
    <row r="388">
      <c r="A388" s="71" t="s">
        <v>1761</v>
      </c>
      <c r="B388" s="71" t="s">
        <v>1688</v>
      </c>
    </row>
    <row r="389">
      <c r="A389" s="72" t="s">
        <v>1762</v>
      </c>
      <c r="B389" s="72" t="s">
        <v>1284</v>
      </c>
    </row>
    <row r="390">
      <c r="A390" s="71" t="s">
        <v>1763</v>
      </c>
      <c r="B390" s="71" t="s">
        <v>1764</v>
      </c>
    </row>
    <row r="391">
      <c r="A391" s="72" t="s">
        <v>1765</v>
      </c>
      <c r="B391" s="72" t="s">
        <v>1766</v>
      </c>
    </row>
    <row r="392">
      <c r="A392" s="71" t="s">
        <v>1767</v>
      </c>
      <c r="B392" s="71" t="s">
        <v>1199</v>
      </c>
    </row>
    <row r="393">
      <c r="A393" s="72" t="s">
        <v>1768</v>
      </c>
      <c r="B393" s="72" t="s">
        <v>1769</v>
      </c>
    </row>
    <row r="394">
      <c r="A394" s="71" t="s">
        <v>1770</v>
      </c>
      <c r="B394" s="71" t="s">
        <v>1495</v>
      </c>
    </row>
    <row r="395">
      <c r="A395" s="72" t="s">
        <v>1771</v>
      </c>
      <c r="B395" s="72" t="s">
        <v>1688</v>
      </c>
    </row>
    <row r="396">
      <c r="A396" s="71" t="s">
        <v>1772</v>
      </c>
      <c r="B396" s="71" t="s">
        <v>1624</v>
      </c>
    </row>
    <row r="397">
      <c r="A397" s="72" t="s">
        <v>1773</v>
      </c>
      <c r="B397" s="72" t="s">
        <v>1489</v>
      </c>
    </row>
    <row r="398">
      <c r="A398" s="71" t="s">
        <v>1774</v>
      </c>
      <c r="B398" s="71" t="s">
        <v>1775</v>
      </c>
    </row>
    <row r="399">
      <c r="A399" s="72" t="s">
        <v>1776</v>
      </c>
      <c r="B399" s="72" t="s">
        <v>1777</v>
      </c>
    </row>
    <row r="400">
      <c r="A400" s="71" t="s">
        <v>1778</v>
      </c>
      <c r="B400" s="71" t="s">
        <v>1522</v>
      </c>
    </row>
    <row r="401">
      <c r="A401" s="72" t="s">
        <v>1779</v>
      </c>
      <c r="B401" s="72" t="s">
        <v>1419</v>
      </c>
    </row>
    <row r="402">
      <c r="A402" s="71" t="s">
        <v>1780</v>
      </c>
      <c r="B402" s="71" t="s">
        <v>1641</v>
      </c>
    </row>
    <row r="403">
      <c r="A403" s="72" t="s">
        <v>1781</v>
      </c>
      <c r="B403" s="72" t="s">
        <v>1737</v>
      </c>
    </row>
    <row r="404">
      <c r="A404" s="71" t="s">
        <v>1782</v>
      </c>
      <c r="B404" s="71" t="s">
        <v>1282</v>
      </c>
    </row>
    <row r="405">
      <c r="A405" s="72" t="s">
        <v>1783</v>
      </c>
      <c r="B405" s="72" t="s">
        <v>1429</v>
      </c>
    </row>
    <row r="406">
      <c r="A406" s="71" t="s">
        <v>1784</v>
      </c>
      <c r="B406" s="71" t="s">
        <v>1785</v>
      </c>
    </row>
    <row r="407">
      <c r="A407" s="72" t="s">
        <v>1786</v>
      </c>
      <c r="B407" s="72" t="s">
        <v>1136</v>
      </c>
    </row>
    <row r="408">
      <c r="A408" s="71" t="s">
        <v>1787</v>
      </c>
      <c r="B408" s="71" t="s">
        <v>1282</v>
      </c>
    </row>
    <row r="409">
      <c r="A409" s="72" t="s">
        <v>1788</v>
      </c>
      <c r="B409" s="72" t="s">
        <v>1789</v>
      </c>
    </row>
    <row r="410">
      <c r="A410" s="71" t="s">
        <v>1790</v>
      </c>
      <c r="B410" s="71" t="s">
        <v>1207</v>
      </c>
    </row>
    <row r="411">
      <c r="A411" s="72" t="s">
        <v>1791</v>
      </c>
      <c r="B411" s="72" t="s">
        <v>1140</v>
      </c>
    </row>
    <row r="412">
      <c r="A412" s="71" t="s">
        <v>1792</v>
      </c>
      <c r="B412" s="71" t="s">
        <v>1349</v>
      </c>
    </row>
    <row r="413">
      <c r="A413" s="72" t="s">
        <v>1793</v>
      </c>
      <c r="B413" s="72" t="s">
        <v>1590</v>
      </c>
    </row>
    <row r="414">
      <c r="A414" s="71" t="s">
        <v>1794</v>
      </c>
      <c r="B414" s="71" t="s">
        <v>1345</v>
      </c>
    </row>
    <row r="415">
      <c r="A415" s="72" t="s">
        <v>1795</v>
      </c>
      <c r="B415" s="72" t="s">
        <v>1796</v>
      </c>
    </row>
    <row r="416">
      <c r="A416" s="71" t="s">
        <v>1797</v>
      </c>
      <c r="B416" s="71" t="s">
        <v>1798</v>
      </c>
    </row>
    <row r="417">
      <c r="A417" s="72" t="s">
        <v>1799</v>
      </c>
      <c r="B417" s="72" t="s">
        <v>1230</v>
      </c>
    </row>
    <row r="418">
      <c r="A418" s="71" t="s">
        <v>1800</v>
      </c>
      <c r="B418" s="71" t="s">
        <v>1493</v>
      </c>
    </row>
    <row r="419">
      <c r="A419" s="72" t="s">
        <v>1801</v>
      </c>
      <c r="B419" s="72" t="s">
        <v>1802</v>
      </c>
    </row>
    <row r="420">
      <c r="A420" s="71" t="s">
        <v>1803</v>
      </c>
      <c r="B420" s="71" t="s">
        <v>1282</v>
      </c>
    </row>
    <row r="421">
      <c r="A421" s="72" t="s">
        <v>1804</v>
      </c>
      <c r="B421" s="72" t="s">
        <v>1805</v>
      </c>
    </row>
    <row r="422">
      <c r="A422" s="71" t="s">
        <v>1806</v>
      </c>
      <c r="B422" s="71" t="s">
        <v>1807</v>
      </c>
    </row>
    <row r="423">
      <c r="A423" s="72" t="s">
        <v>1808</v>
      </c>
      <c r="B423" s="72" t="s">
        <v>1809</v>
      </c>
    </row>
    <row r="424">
      <c r="A424" s="71" t="s">
        <v>1810</v>
      </c>
      <c r="B424" s="71" t="s">
        <v>1811</v>
      </c>
    </row>
    <row r="425">
      <c r="A425" s="72" t="s">
        <v>1812</v>
      </c>
      <c r="B425" s="72" t="s">
        <v>1274</v>
      </c>
    </row>
    <row r="426">
      <c r="A426" s="71" t="s">
        <v>1813</v>
      </c>
      <c r="B426" s="71" t="s">
        <v>1688</v>
      </c>
    </row>
    <row r="427">
      <c r="A427" s="72" t="s">
        <v>1814</v>
      </c>
      <c r="B427" s="72" t="s">
        <v>1380</v>
      </c>
    </row>
    <row r="428">
      <c r="A428" s="71" t="s">
        <v>1815</v>
      </c>
      <c r="B428" s="71" t="s">
        <v>1816</v>
      </c>
    </row>
    <row r="429">
      <c r="A429" s="72" t="s">
        <v>1817</v>
      </c>
      <c r="B429" s="72" t="s">
        <v>1818</v>
      </c>
    </row>
    <row r="430">
      <c r="A430" s="71" t="s">
        <v>1819</v>
      </c>
      <c r="B430" s="71" t="s">
        <v>1820</v>
      </c>
    </row>
    <row r="431">
      <c r="A431" s="72" t="s">
        <v>1821</v>
      </c>
      <c r="B431" s="72" t="s">
        <v>1822</v>
      </c>
    </row>
    <row r="432">
      <c r="A432" s="71" t="s">
        <v>1823</v>
      </c>
      <c r="B432" s="71" t="s">
        <v>1694</v>
      </c>
    </row>
    <row r="433">
      <c r="A433" s="72" t="s">
        <v>1824</v>
      </c>
      <c r="B433" s="72" t="s">
        <v>1677</v>
      </c>
    </row>
    <row r="434">
      <c r="A434" s="71" t="s">
        <v>1825</v>
      </c>
      <c r="B434" s="71" t="s">
        <v>1826</v>
      </c>
    </row>
    <row r="435">
      <c r="A435" s="72" t="s">
        <v>1827</v>
      </c>
      <c r="B435" s="72" t="s">
        <v>1828</v>
      </c>
    </row>
    <row r="436">
      <c r="A436" s="71" t="s">
        <v>1829</v>
      </c>
      <c r="B436" s="71" t="s">
        <v>1322</v>
      </c>
    </row>
    <row r="437">
      <c r="A437" s="72" t="s">
        <v>1830</v>
      </c>
      <c r="B437" s="72" t="s">
        <v>1831</v>
      </c>
    </row>
    <row r="438">
      <c r="A438" s="71" t="s">
        <v>1832</v>
      </c>
      <c r="B438" s="71" t="s">
        <v>1142</v>
      </c>
    </row>
    <row r="439">
      <c r="A439" s="72" t="s">
        <v>1833</v>
      </c>
      <c r="B439" s="72" t="s">
        <v>1834</v>
      </c>
    </row>
    <row r="440">
      <c r="A440" s="71" t="s">
        <v>1835</v>
      </c>
      <c r="B440" s="71" t="s">
        <v>1836</v>
      </c>
    </row>
    <row r="441">
      <c r="A441" s="72" t="s">
        <v>1837</v>
      </c>
      <c r="B441" s="72" t="s">
        <v>1838</v>
      </c>
    </row>
    <row r="442">
      <c r="A442" s="71" t="s">
        <v>1839</v>
      </c>
      <c r="B442" s="71" t="s">
        <v>1840</v>
      </c>
    </row>
    <row r="443">
      <c r="A443" s="72" t="s">
        <v>1841</v>
      </c>
      <c r="B443" s="72" t="s">
        <v>1842</v>
      </c>
    </row>
    <row r="444">
      <c r="A444" s="71" t="s">
        <v>1843</v>
      </c>
      <c r="B444" s="71" t="s">
        <v>1294</v>
      </c>
    </row>
    <row r="445">
      <c r="A445" s="72" t="s">
        <v>1844</v>
      </c>
      <c r="B445" s="72" t="s">
        <v>1845</v>
      </c>
    </row>
    <row r="446">
      <c r="A446" s="71" t="s">
        <v>1846</v>
      </c>
      <c r="B446" s="71" t="s">
        <v>1604</v>
      </c>
    </row>
    <row r="447">
      <c r="A447" s="72" t="s">
        <v>1847</v>
      </c>
      <c r="B447" s="72" t="s">
        <v>1848</v>
      </c>
    </row>
    <row r="448">
      <c r="A448" s="71" t="s">
        <v>1849</v>
      </c>
      <c r="B448" s="71" t="s">
        <v>1850</v>
      </c>
    </row>
    <row r="449">
      <c r="A449" s="72" t="s">
        <v>1851</v>
      </c>
      <c r="B449" s="72" t="s">
        <v>1852</v>
      </c>
    </row>
    <row r="450">
      <c r="A450" s="71" t="s">
        <v>1853</v>
      </c>
      <c r="B450" s="71" t="s">
        <v>1260</v>
      </c>
    </row>
    <row r="451">
      <c r="A451" s="72" t="s">
        <v>1854</v>
      </c>
      <c r="B451" s="72" t="s">
        <v>1855</v>
      </c>
    </row>
    <row r="452">
      <c r="A452" s="71" t="s">
        <v>1856</v>
      </c>
      <c r="B452" s="71" t="s">
        <v>1857</v>
      </c>
    </row>
    <row r="453">
      <c r="A453" s="72" t="s">
        <v>1858</v>
      </c>
      <c r="B453" s="72" t="s">
        <v>1859</v>
      </c>
    </row>
    <row r="454">
      <c r="A454" s="71" t="s">
        <v>1860</v>
      </c>
      <c r="B454" s="71" t="s">
        <v>1831</v>
      </c>
    </row>
    <row r="455">
      <c r="A455" s="72" t="s">
        <v>1861</v>
      </c>
      <c r="B455" s="72" t="s">
        <v>1862</v>
      </c>
    </row>
    <row r="456">
      <c r="A456" s="71" t="s">
        <v>1863</v>
      </c>
      <c r="B456" s="71" t="s">
        <v>1864</v>
      </c>
    </row>
    <row r="457">
      <c r="A457" s="72" t="s">
        <v>1865</v>
      </c>
      <c r="B457" s="72" t="s">
        <v>1236</v>
      </c>
    </row>
    <row r="458">
      <c r="A458" s="71" t="s">
        <v>1866</v>
      </c>
      <c r="B458" s="71" t="s">
        <v>1867</v>
      </c>
    </row>
    <row r="459">
      <c r="A459" s="72" t="s">
        <v>1868</v>
      </c>
      <c r="B459" s="72" t="s">
        <v>1869</v>
      </c>
    </row>
    <row r="460">
      <c r="A460" s="71" t="s">
        <v>1870</v>
      </c>
      <c r="B460" s="71" t="s">
        <v>1337</v>
      </c>
    </row>
    <row r="461">
      <c r="A461" s="72" t="s">
        <v>1871</v>
      </c>
      <c r="B461" s="72" t="s">
        <v>1590</v>
      </c>
    </row>
    <row r="462">
      <c r="A462" s="71" t="s">
        <v>1872</v>
      </c>
      <c r="B462" s="71" t="s">
        <v>1873</v>
      </c>
    </row>
    <row r="463">
      <c r="A463" s="72" t="s">
        <v>1874</v>
      </c>
      <c r="B463" s="72" t="s">
        <v>1875</v>
      </c>
    </row>
    <row r="464">
      <c r="A464" s="71" t="s">
        <v>1876</v>
      </c>
      <c r="B464" s="71" t="s">
        <v>1138</v>
      </c>
    </row>
    <row r="465">
      <c r="A465" s="72" t="s">
        <v>1877</v>
      </c>
      <c r="B465" s="72" t="s">
        <v>1878</v>
      </c>
    </row>
    <row r="466">
      <c r="A466" s="71" t="s">
        <v>1879</v>
      </c>
      <c r="B466" s="71" t="s">
        <v>1390</v>
      </c>
    </row>
    <row r="467">
      <c r="A467" s="72" t="s">
        <v>1880</v>
      </c>
      <c r="B467" s="72" t="s">
        <v>1477</v>
      </c>
    </row>
    <row r="468">
      <c r="A468" s="71" t="s">
        <v>1881</v>
      </c>
      <c r="B468" s="71" t="s">
        <v>1882</v>
      </c>
    </row>
    <row r="469">
      <c r="A469" s="72" t="s">
        <v>1883</v>
      </c>
      <c r="B469" s="72" t="s">
        <v>1884</v>
      </c>
    </row>
    <row r="470">
      <c r="A470" s="71" t="s">
        <v>1885</v>
      </c>
      <c r="B470" s="71" t="s">
        <v>1886</v>
      </c>
    </row>
    <row r="471">
      <c r="A471" s="72" t="s">
        <v>1887</v>
      </c>
      <c r="B471" s="72" t="s">
        <v>1183</v>
      </c>
    </row>
    <row r="472">
      <c r="A472" s="71" t="s">
        <v>1888</v>
      </c>
      <c r="B472" s="71" t="s">
        <v>1310</v>
      </c>
    </row>
    <row r="473">
      <c r="A473" s="72" t="s">
        <v>1889</v>
      </c>
      <c r="B473" s="72" t="s">
        <v>1890</v>
      </c>
    </row>
    <row r="474">
      <c r="A474" s="71" t="s">
        <v>1891</v>
      </c>
      <c r="B474" s="71" t="s">
        <v>1471</v>
      </c>
    </row>
    <row r="475">
      <c r="A475" s="72" t="s">
        <v>1892</v>
      </c>
      <c r="B475" s="72" t="s">
        <v>1893</v>
      </c>
    </row>
    <row r="476">
      <c r="A476" s="71" t="s">
        <v>1894</v>
      </c>
      <c r="B476" s="71" t="s">
        <v>1895</v>
      </c>
    </row>
    <row r="477">
      <c r="A477" s="72" t="s">
        <v>1896</v>
      </c>
      <c r="B477" s="72" t="s">
        <v>1580</v>
      </c>
    </row>
    <row r="478">
      <c r="A478" s="71" t="s">
        <v>1897</v>
      </c>
      <c r="B478" s="71" t="s">
        <v>1898</v>
      </c>
    </row>
    <row r="479">
      <c r="A479" s="72" t="s">
        <v>1899</v>
      </c>
      <c r="B479" s="72" t="s">
        <v>1900</v>
      </c>
    </row>
    <row r="480">
      <c r="A480" s="71" t="s">
        <v>1901</v>
      </c>
      <c r="B480" s="71" t="s">
        <v>1902</v>
      </c>
    </row>
    <row r="481">
      <c r="A481" s="72" t="s">
        <v>1903</v>
      </c>
      <c r="B481" s="72" t="s">
        <v>1904</v>
      </c>
    </row>
    <row r="482">
      <c r="A482" s="71" t="s">
        <v>1905</v>
      </c>
      <c r="B482" s="71" t="s">
        <v>1218</v>
      </c>
    </row>
    <row r="483">
      <c r="A483" s="72" t="s">
        <v>1906</v>
      </c>
      <c r="B483" s="72" t="s">
        <v>1175</v>
      </c>
    </row>
    <row r="484">
      <c r="A484" s="71" t="s">
        <v>1907</v>
      </c>
      <c r="B484" s="71" t="s">
        <v>1908</v>
      </c>
    </row>
    <row r="485">
      <c r="A485" s="72" t="s">
        <v>1909</v>
      </c>
      <c r="B485" s="72" t="s">
        <v>1910</v>
      </c>
    </row>
    <row r="486">
      <c r="A486" s="71" t="s">
        <v>1911</v>
      </c>
      <c r="B486" s="71" t="s">
        <v>1125</v>
      </c>
    </row>
    <row r="487">
      <c r="A487" s="72" t="s">
        <v>1912</v>
      </c>
      <c r="B487" s="72" t="s">
        <v>1913</v>
      </c>
    </row>
    <row r="488">
      <c r="A488" s="71" t="s">
        <v>1914</v>
      </c>
      <c r="B488" s="71" t="s">
        <v>1915</v>
      </c>
    </row>
    <row r="489">
      <c r="A489" s="72" t="s">
        <v>1916</v>
      </c>
      <c r="B489" s="72" t="s">
        <v>1816</v>
      </c>
    </row>
    <row r="490">
      <c r="A490" s="71" t="s">
        <v>1917</v>
      </c>
      <c r="B490" s="71" t="s">
        <v>1918</v>
      </c>
    </row>
    <row r="491">
      <c r="A491" s="72" t="s">
        <v>1919</v>
      </c>
      <c r="B491" s="72" t="s">
        <v>1402</v>
      </c>
    </row>
    <row r="492">
      <c r="A492" s="71" t="s">
        <v>1920</v>
      </c>
      <c r="B492" s="71" t="s">
        <v>1805</v>
      </c>
    </row>
    <row r="493">
      <c r="A493" s="72" t="s">
        <v>1921</v>
      </c>
      <c r="B493" s="72" t="s">
        <v>1294</v>
      </c>
    </row>
    <row r="494">
      <c r="A494" s="71" t="s">
        <v>1922</v>
      </c>
      <c r="B494" s="71" t="s">
        <v>1923</v>
      </c>
    </row>
    <row r="495">
      <c r="A495" s="72" t="s">
        <v>1924</v>
      </c>
      <c r="B495" s="72" t="s">
        <v>1925</v>
      </c>
    </row>
    <row r="496">
      <c r="A496" s="71" t="s">
        <v>1926</v>
      </c>
      <c r="B496" s="71" t="s">
        <v>1146</v>
      </c>
    </row>
    <row r="497">
      <c r="A497" s="72" t="s">
        <v>1927</v>
      </c>
      <c r="B497" s="72" t="s">
        <v>1132</v>
      </c>
    </row>
    <row r="498">
      <c r="A498" s="71" t="s">
        <v>1928</v>
      </c>
      <c r="B498" s="71" t="s">
        <v>1929</v>
      </c>
    </row>
    <row r="499">
      <c r="A499" s="72" t="s">
        <v>1930</v>
      </c>
      <c r="B499" s="72" t="s">
        <v>1211</v>
      </c>
    </row>
    <row r="500">
      <c r="A500" s="71" t="s">
        <v>1931</v>
      </c>
      <c r="B500" s="71" t="s">
        <v>1132</v>
      </c>
    </row>
    <row r="501">
      <c r="A501" s="72" t="s">
        <v>1932</v>
      </c>
      <c r="B501" s="72" t="s">
        <v>1933</v>
      </c>
    </row>
    <row r="502">
      <c r="A502" s="71" t="s">
        <v>1934</v>
      </c>
      <c r="B502" s="71" t="s">
        <v>1156</v>
      </c>
    </row>
    <row r="503">
      <c r="A503" s="72" t="s">
        <v>1935</v>
      </c>
      <c r="B503" s="72" t="s">
        <v>1419</v>
      </c>
    </row>
    <row r="504">
      <c r="A504" s="71" t="s">
        <v>1936</v>
      </c>
      <c r="B504" s="71" t="s">
        <v>1290</v>
      </c>
    </row>
    <row r="505">
      <c r="A505" s="72" t="s">
        <v>1937</v>
      </c>
      <c r="B505" s="72" t="s">
        <v>1254</v>
      </c>
    </row>
    <row r="506">
      <c r="A506" s="71" t="s">
        <v>1938</v>
      </c>
      <c r="B506" s="71" t="s">
        <v>1939</v>
      </c>
    </row>
    <row r="507">
      <c r="A507" s="72" t="s">
        <v>1940</v>
      </c>
      <c r="B507" s="72" t="s">
        <v>1215</v>
      </c>
    </row>
    <row r="508">
      <c r="A508" s="71" t="s">
        <v>1941</v>
      </c>
      <c r="B508" s="71" t="s">
        <v>1942</v>
      </c>
    </row>
    <row r="509">
      <c r="A509" s="72" t="s">
        <v>1943</v>
      </c>
      <c r="B509" s="72" t="s">
        <v>1944</v>
      </c>
    </row>
    <row r="510">
      <c r="A510" s="71" t="s">
        <v>1945</v>
      </c>
      <c r="B510" s="71" t="s">
        <v>1946</v>
      </c>
    </row>
    <row r="511">
      <c r="A511" s="72" t="s">
        <v>1947</v>
      </c>
      <c r="B511" s="72" t="s">
        <v>1948</v>
      </c>
    </row>
    <row r="512">
      <c r="A512" s="71" t="s">
        <v>1949</v>
      </c>
      <c r="B512" s="71" t="s">
        <v>1950</v>
      </c>
    </row>
    <row r="513">
      <c r="A513" s="72" t="s">
        <v>1951</v>
      </c>
      <c r="B513" s="72" t="s">
        <v>1310</v>
      </c>
    </row>
    <row r="514">
      <c r="A514" s="71" t="s">
        <v>1952</v>
      </c>
      <c r="B514" s="71" t="s">
        <v>1953</v>
      </c>
    </row>
    <row r="515">
      <c r="A515" s="72" t="s">
        <v>1954</v>
      </c>
      <c r="B515" s="72" t="s">
        <v>1955</v>
      </c>
    </row>
    <row r="516">
      <c r="A516" s="71" t="s">
        <v>1956</v>
      </c>
      <c r="B516" s="71" t="s">
        <v>1218</v>
      </c>
    </row>
    <row r="517">
      <c r="A517" s="72" t="s">
        <v>1957</v>
      </c>
      <c r="B517" s="72" t="s">
        <v>1493</v>
      </c>
    </row>
    <row r="518">
      <c r="A518" s="71" t="s">
        <v>1958</v>
      </c>
      <c r="B518" s="71" t="s">
        <v>1132</v>
      </c>
    </row>
    <row r="519">
      <c r="A519" s="72" t="s">
        <v>1959</v>
      </c>
      <c r="B519" s="72" t="s">
        <v>1960</v>
      </c>
    </row>
    <row r="520">
      <c r="A520" s="71" t="s">
        <v>1961</v>
      </c>
      <c r="B520" s="71" t="s">
        <v>1962</v>
      </c>
    </row>
    <row r="521">
      <c r="A521" s="72" t="s">
        <v>1963</v>
      </c>
      <c r="B521" s="72" t="s">
        <v>1964</v>
      </c>
    </row>
    <row r="522">
      <c r="A522" s="71" t="s">
        <v>1965</v>
      </c>
      <c r="B522" s="71" t="s">
        <v>1495</v>
      </c>
    </row>
    <row r="523">
      <c r="A523" s="72" t="s">
        <v>1966</v>
      </c>
      <c r="B523" s="72" t="s">
        <v>1967</v>
      </c>
    </row>
    <row r="524">
      <c r="A524" s="71" t="s">
        <v>1968</v>
      </c>
      <c r="B524" s="71" t="s">
        <v>1946</v>
      </c>
    </row>
    <row r="525">
      <c r="A525" s="72" t="s">
        <v>1969</v>
      </c>
      <c r="B525" s="72" t="s">
        <v>1390</v>
      </c>
    </row>
    <row r="526">
      <c r="A526" s="71" t="s">
        <v>1970</v>
      </c>
      <c r="B526" s="71" t="s">
        <v>1455</v>
      </c>
    </row>
    <row r="527">
      <c r="A527" s="72" t="s">
        <v>1971</v>
      </c>
      <c r="B527" s="72" t="s">
        <v>1215</v>
      </c>
    </row>
    <row r="528">
      <c r="A528" s="71" t="s">
        <v>1972</v>
      </c>
      <c r="B528" s="71" t="s">
        <v>1973</v>
      </c>
    </row>
    <row r="529">
      <c r="A529" s="72" t="s">
        <v>1974</v>
      </c>
      <c r="B529" s="72" t="s">
        <v>1140</v>
      </c>
    </row>
    <row r="530">
      <c r="A530" s="71" t="s">
        <v>1975</v>
      </c>
      <c r="B530" s="71" t="s">
        <v>1913</v>
      </c>
    </row>
    <row r="531">
      <c r="A531" s="72" t="s">
        <v>1976</v>
      </c>
      <c r="B531" s="72" t="s">
        <v>1977</v>
      </c>
    </row>
    <row r="532">
      <c r="A532" s="71" t="s">
        <v>1978</v>
      </c>
      <c r="B532" s="71" t="s">
        <v>1211</v>
      </c>
    </row>
    <row r="533">
      <c r="A533" s="72" t="s">
        <v>1979</v>
      </c>
      <c r="B533" s="72" t="s">
        <v>1980</v>
      </c>
    </row>
    <row r="534">
      <c r="A534" s="71" t="s">
        <v>1981</v>
      </c>
      <c r="B534" s="71" t="s">
        <v>1224</v>
      </c>
    </row>
    <row r="535">
      <c r="A535" s="72" t="s">
        <v>1982</v>
      </c>
      <c r="B535" s="72" t="s">
        <v>1983</v>
      </c>
    </row>
    <row r="536">
      <c r="A536" s="71" t="s">
        <v>1984</v>
      </c>
      <c r="B536" s="71" t="s">
        <v>1985</v>
      </c>
    </row>
    <row r="537">
      <c r="A537" s="72" t="s">
        <v>1986</v>
      </c>
      <c r="B537" s="72" t="s">
        <v>1987</v>
      </c>
    </row>
    <row r="538">
      <c r="A538" s="71" t="s">
        <v>1988</v>
      </c>
      <c r="B538" s="71" t="s">
        <v>1169</v>
      </c>
    </row>
    <row r="539">
      <c r="A539" s="72" t="s">
        <v>1989</v>
      </c>
      <c r="B539" s="72" t="s">
        <v>1431</v>
      </c>
    </row>
    <row r="540">
      <c r="A540" s="71" t="s">
        <v>1990</v>
      </c>
      <c r="B540" s="71" t="s">
        <v>1518</v>
      </c>
    </row>
    <row r="541">
      <c r="A541" s="72" t="s">
        <v>1991</v>
      </c>
      <c r="B541" s="72" t="s">
        <v>1330</v>
      </c>
    </row>
    <row r="542">
      <c r="A542" s="71" t="s">
        <v>1992</v>
      </c>
      <c r="B542" s="71" t="s">
        <v>1993</v>
      </c>
    </row>
    <row r="543">
      <c r="A543" s="72" t="s">
        <v>1994</v>
      </c>
      <c r="B543" s="72" t="s">
        <v>1796</v>
      </c>
    </row>
    <row r="544">
      <c r="A544" s="71" t="s">
        <v>1995</v>
      </c>
      <c r="B544" s="71" t="s">
        <v>1996</v>
      </c>
    </row>
    <row r="545">
      <c r="A545" s="72" t="s">
        <v>1997</v>
      </c>
      <c r="B545" s="72" t="s">
        <v>1955</v>
      </c>
    </row>
    <row r="546">
      <c r="A546" s="71" t="s">
        <v>1998</v>
      </c>
      <c r="B546" s="71" t="s">
        <v>1999</v>
      </c>
    </row>
    <row r="547">
      <c r="A547" s="72" t="s">
        <v>2000</v>
      </c>
      <c r="B547" s="72" t="s">
        <v>1805</v>
      </c>
    </row>
    <row r="548">
      <c r="A548" s="71" t="s">
        <v>2001</v>
      </c>
      <c r="B548" s="71" t="s">
        <v>1737</v>
      </c>
    </row>
    <row r="549">
      <c r="A549" s="72" t="s">
        <v>2002</v>
      </c>
      <c r="B549" s="72" t="s">
        <v>2003</v>
      </c>
    </row>
    <row r="550">
      <c r="A550" s="71" t="s">
        <v>2004</v>
      </c>
      <c r="B550" s="71" t="s">
        <v>1274</v>
      </c>
    </row>
    <row r="551">
      <c r="A551" s="72" t="s">
        <v>2005</v>
      </c>
      <c r="B551" s="72" t="s">
        <v>1220</v>
      </c>
    </row>
    <row r="552">
      <c r="A552" s="71" t="s">
        <v>2006</v>
      </c>
      <c r="B552" s="71" t="s">
        <v>1380</v>
      </c>
    </row>
    <row r="553">
      <c r="A553" s="72" t="s">
        <v>2007</v>
      </c>
      <c r="B553" s="72" t="s">
        <v>2008</v>
      </c>
    </row>
    <row r="554">
      <c r="A554" s="71" t="s">
        <v>2009</v>
      </c>
      <c r="B554" s="71" t="s">
        <v>1929</v>
      </c>
    </row>
    <row r="555">
      <c r="A555" s="72" t="s">
        <v>2010</v>
      </c>
      <c r="B555" s="72" t="s">
        <v>1125</v>
      </c>
    </row>
    <row r="556">
      <c r="A556" s="71" t="s">
        <v>2011</v>
      </c>
      <c r="B556" s="71" t="s">
        <v>1203</v>
      </c>
    </row>
    <row r="557">
      <c r="A557" s="72" t="s">
        <v>2012</v>
      </c>
      <c r="B557" s="72" t="s">
        <v>2013</v>
      </c>
    </row>
    <row r="558">
      <c r="A558" s="71" t="s">
        <v>2014</v>
      </c>
      <c r="B558" s="71" t="s">
        <v>2015</v>
      </c>
    </row>
    <row r="559">
      <c r="A559" s="72" t="s">
        <v>2016</v>
      </c>
      <c r="B559" s="72" t="s">
        <v>1442</v>
      </c>
    </row>
    <row r="560">
      <c r="A560" s="71" t="s">
        <v>2017</v>
      </c>
      <c r="B560" s="71" t="s">
        <v>1351</v>
      </c>
    </row>
    <row r="561">
      <c r="A561" s="72" t="s">
        <v>2018</v>
      </c>
      <c r="B561" s="72" t="s">
        <v>2019</v>
      </c>
    </row>
    <row r="562">
      <c r="A562" s="71" t="s">
        <v>2020</v>
      </c>
      <c r="B562" s="71" t="s">
        <v>1816</v>
      </c>
    </row>
    <row r="563">
      <c r="A563" s="72" t="s">
        <v>2021</v>
      </c>
      <c r="B563" s="72" t="s">
        <v>2022</v>
      </c>
    </row>
    <row r="564">
      <c r="A564" s="71" t="s">
        <v>2023</v>
      </c>
      <c r="B564" s="71" t="s">
        <v>1228</v>
      </c>
    </row>
    <row r="565">
      <c r="A565" s="72" t="s">
        <v>2024</v>
      </c>
      <c r="B565" s="72" t="s">
        <v>1284</v>
      </c>
    </row>
    <row r="566">
      <c r="A566" s="71" t="s">
        <v>2025</v>
      </c>
      <c r="B566" s="71" t="s">
        <v>2026</v>
      </c>
    </row>
    <row r="567">
      <c r="A567" s="72" t="s">
        <v>2027</v>
      </c>
      <c r="B567" s="72" t="s">
        <v>1136</v>
      </c>
    </row>
    <row r="568">
      <c r="A568" s="71" t="s">
        <v>2028</v>
      </c>
      <c r="B568" s="71" t="s">
        <v>1132</v>
      </c>
    </row>
    <row r="569">
      <c r="A569" s="72" t="s">
        <v>2029</v>
      </c>
      <c r="B569" s="72" t="s">
        <v>2030</v>
      </c>
    </row>
    <row r="570">
      <c r="A570" s="71" t="s">
        <v>2031</v>
      </c>
      <c r="B570" s="71" t="s">
        <v>1171</v>
      </c>
    </row>
    <row r="571">
      <c r="A571" s="72" t="s">
        <v>2032</v>
      </c>
      <c r="B571" s="72" t="s">
        <v>2033</v>
      </c>
    </row>
    <row r="572">
      <c r="A572" s="71" t="s">
        <v>2034</v>
      </c>
      <c r="B572" s="71" t="s">
        <v>2035</v>
      </c>
    </row>
    <row r="573">
      <c r="A573" s="72" t="s">
        <v>2036</v>
      </c>
      <c r="B573" s="72" t="s">
        <v>1390</v>
      </c>
    </row>
    <row r="574">
      <c r="A574" s="71" t="s">
        <v>2037</v>
      </c>
      <c r="B574" s="71" t="s">
        <v>2038</v>
      </c>
    </row>
    <row r="575">
      <c r="A575" s="72" t="s">
        <v>2039</v>
      </c>
      <c r="B575" s="72" t="s">
        <v>1330</v>
      </c>
    </row>
    <row r="576">
      <c r="A576" s="71" t="s">
        <v>2040</v>
      </c>
      <c r="B576" s="71" t="s">
        <v>1563</v>
      </c>
    </row>
    <row r="577">
      <c r="A577" s="72" t="s">
        <v>2041</v>
      </c>
      <c r="B577" s="72" t="s">
        <v>1382</v>
      </c>
    </row>
    <row r="578">
      <c r="A578" s="71" t="s">
        <v>2042</v>
      </c>
      <c r="B578" s="71" t="s">
        <v>2043</v>
      </c>
    </row>
    <row r="579">
      <c r="A579" s="72" t="s">
        <v>2044</v>
      </c>
      <c r="B579" s="72" t="s">
        <v>1203</v>
      </c>
    </row>
    <row r="580">
      <c r="A580" s="71" t="s">
        <v>2045</v>
      </c>
      <c r="B580" s="71" t="s">
        <v>1254</v>
      </c>
    </row>
    <row r="581">
      <c r="A581" s="72" t="s">
        <v>2046</v>
      </c>
      <c r="B581" s="72" t="s">
        <v>1714</v>
      </c>
    </row>
    <row r="582">
      <c r="A582" s="71" t="s">
        <v>2047</v>
      </c>
      <c r="B582" s="71" t="s">
        <v>1205</v>
      </c>
    </row>
    <row r="583">
      <c r="A583" s="72" t="s">
        <v>2048</v>
      </c>
      <c r="B583" s="72" t="s">
        <v>1337</v>
      </c>
    </row>
    <row r="584">
      <c r="A584" s="71" t="s">
        <v>2049</v>
      </c>
      <c r="B584" s="71" t="s">
        <v>1697</v>
      </c>
    </row>
    <row r="585">
      <c r="A585" s="72" t="s">
        <v>2050</v>
      </c>
      <c r="B585" s="72" t="s">
        <v>2051</v>
      </c>
    </row>
    <row r="586">
      <c r="A586" s="71" t="s">
        <v>2052</v>
      </c>
      <c r="B586" s="71" t="s">
        <v>2053</v>
      </c>
    </row>
    <row r="587">
      <c r="A587" s="72" t="s">
        <v>2054</v>
      </c>
      <c r="B587" s="72" t="s">
        <v>2055</v>
      </c>
    </row>
    <row r="588">
      <c r="A588" s="71" t="s">
        <v>2056</v>
      </c>
      <c r="B588" s="71" t="s">
        <v>2057</v>
      </c>
    </row>
    <row r="589">
      <c r="A589" s="72" t="s">
        <v>2058</v>
      </c>
      <c r="B589" s="72" t="s">
        <v>1282</v>
      </c>
    </row>
    <row r="590">
      <c r="A590" s="71" t="s">
        <v>2059</v>
      </c>
      <c r="B590" s="71" t="s">
        <v>2060</v>
      </c>
    </row>
    <row r="591">
      <c r="A591" s="72" t="s">
        <v>2061</v>
      </c>
      <c r="B591" s="72" t="s">
        <v>1604</v>
      </c>
    </row>
    <row r="592">
      <c r="A592" s="71" t="s">
        <v>2062</v>
      </c>
      <c r="B592" s="71" t="s">
        <v>1207</v>
      </c>
    </row>
    <row r="593">
      <c r="A593" s="72" t="s">
        <v>2063</v>
      </c>
      <c r="B593" s="72" t="s">
        <v>1322</v>
      </c>
    </row>
    <row r="594">
      <c r="A594" s="71" t="s">
        <v>2064</v>
      </c>
      <c r="B594" s="71" t="s">
        <v>2065</v>
      </c>
    </row>
    <row r="595">
      <c r="A595" s="72" t="s">
        <v>2066</v>
      </c>
      <c r="B595" s="72" t="s">
        <v>1345</v>
      </c>
    </row>
    <row r="596">
      <c r="A596" s="71" t="s">
        <v>2067</v>
      </c>
      <c r="B596" s="71" t="s">
        <v>2068</v>
      </c>
    </row>
    <row r="597">
      <c r="A597" s="72" t="s">
        <v>2069</v>
      </c>
      <c r="B597" s="72" t="s">
        <v>2070</v>
      </c>
    </row>
    <row r="598">
      <c r="A598" s="71" t="s">
        <v>2071</v>
      </c>
      <c r="B598" s="71" t="s">
        <v>2072</v>
      </c>
    </row>
    <row r="599">
      <c r="A599" s="72" t="s">
        <v>2073</v>
      </c>
      <c r="B599" s="72" t="s">
        <v>1250</v>
      </c>
    </row>
    <row r="600">
      <c r="A600" s="71" t="s">
        <v>2074</v>
      </c>
      <c r="B600" s="71" t="s">
        <v>2075</v>
      </c>
    </row>
    <row r="601">
      <c r="A601" s="72" t="s">
        <v>2076</v>
      </c>
      <c r="B601" s="72" t="s">
        <v>1169</v>
      </c>
    </row>
    <row r="602">
      <c r="A602" s="71" t="s">
        <v>2077</v>
      </c>
      <c r="B602" s="71" t="s">
        <v>1511</v>
      </c>
    </row>
    <row r="603">
      <c r="A603" s="72" t="s">
        <v>2078</v>
      </c>
      <c r="B603" s="72" t="s">
        <v>2079</v>
      </c>
    </row>
    <row r="604">
      <c r="A604" s="71" t="s">
        <v>2080</v>
      </c>
      <c r="B604" s="71" t="s">
        <v>1955</v>
      </c>
    </row>
    <row r="605">
      <c r="A605" s="72" t="s">
        <v>2081</v>
      </c>
      <c r="B605" s="72" t="s">
        <v>1882</v>
      </c>
    </row>
    <row r="606">
      <c r="A606" s="71" t="s">
        <v>2082</v>
      </c>
      <c r="B606" s="71" t="s">
        <v>1187</v>
      </c>
    </row>
    <row r="607">
      <c r="A607" s="72" t="s">
        <v>2083</v>
      </c>
      <c r="B607" s="72" t="s">
        <v>2084</v>
      </c>
    </row>
    <row r="608">
      <c r="A608" s="71" t="s">
        <v>2085</v>
      </c>
      <c r="B608" s="71" t="s">
        <v>1181</v>
      </c>
    </row>
    <row r="609">
      <c r="A609" s="72" t="s">
        <v>2086</v>
      </c>
      <c r="B609" s="72" t="s">
        <v>1873</v>
      </c>
    </row>
    <row r="610">
      <c r="A610" s="71" t="s">
        <v>2087</v>
      </c>
      <c r="B610" s="71" t="s">
        <v>2088</v>
      </c>
    </row>
    <row r="611">
      <c r="A611" s="72" t="s">
        <v>2089</v>
      </c>
      <c r="B611" s="72" t="s">
        <v>2090</v>
      </c>
    </row>
    <row r="612">
      <c r="A612" s="71" t="s">
        <v>2091</v>
      </c>
      <c r="B612" s="71" t="s">
        <v>2092</v>
      </c>
    </row>
    <row r="613">
      <c r="A613" s="72" t="s">
        <v>2093</v>
      </c>
      <c r="B613" s="72" t="s">
        <v>2094</v>
      </c>
    </row>
    <row r="614">
      <c r="A614" s="71" t="s">
        <v>2095</v>
      </c>
      <c r="B614" s="71" t="s">
        <v>2096</v>
      </c>
    </row>
    <row r="615">
      <c r="A615" s="72" t="s">
        <v>2097</v>
      </c>
      <c r="B615" s="72" t="s">
        <v>1697</v>
      </c>
    </row>
    <row r="616">
      <c r="A616" s="71" t="s">
        <v>2098</v>
      </c>
      <c r="B616" s="71" t="s">
        <v>2099</v>
      </c>
    </row>
    <row r="617">
      <c r="A617" s="72" t="s">
        <v>2100</v>
      </c>
      <c r="B617" s="72" t="s">
        <v>2101</v>
      </c>
    </row>
    <row r="618">
      <c r="A618" s="71" t="s">
        <v>2102</v>
      </c>
      <c r="B618" s="71" t="s">
        <v>2103</v>
      </c>
    </row>
    <row r="619">
      <c r="A619" s="72" t="s">
        <v>2104</v>
      </c>
      <c r="B619" s="72" t="s">
        <v>1805</v>
      </c>
    </row>
    <row r="620">
      <c r="A620" s="71" t="s">
        <v>2105</v>
      </c>
      <c r="B620" s="71" t="s">
        <v>1382</v>
      </c>
    </row>
    <row r="621">
      <c r="A621" s="72" t="s">
        <v>2106</v>
      </c>
      <c r="B621" s="72" t="s">
        <v>1875</v>
      </c>
    </row>
    <row r="622">
      <c r="A622" s="71" t="s">
        <v>2107</v>
      </c>
      <c r="B622" s="71" t="s">
        <v>1119</v>
      </c>
    </row>
    <row r="623">
      <c r="A623" s="72" t="s">
        <v>2108</v>
      </c>
      <c r="B623" s="72" t="s">
        <v>1328</v>
      </c>
    </row>
    <row r="624">
      <c r="A624" s="71" t="s">
        <v>2109</v>
      </c>
      <c r="B624" s="71" t="s">
        <v>2070</v>
      </c>
    </row>
    <row r="625">
      <c r="A625" s="72" t="s">
        <v>2110</v>
      </c>
      <c r="B625" s="72" t="s">
        <v>1179</v>
      </c>
    </row>
    <row r="626">
      <c r="A626" s="71" t="s">
        <v>2111</v>
      </c>
      <c r="B626" s="71" t="s">
        <v>2112</v>
      </c>
    </row>
    <row r="627">
      <c r="A627" s="72" t="s">
        <v>2113</v>
      </c>
      <c r="B627" s="72" t="s">
        <v>1694</v>
      </c>
    </row>
    <row r="628">
      <c r="A628" s="71" t="s">
        <v>2114</v>
      </c>
      <c r="B628" s="71" t="s">
        <v>1893</v>
      </c>
    </row>
    <row r="629">
      <c r="A629" s="72" t="s">
        <v>2115</v>
      </c>
      <c r="B629" s="72" t="s">
        <v>1590</v>
      </c>
    </row>
    <row r="630">
      <c r="A630" s="71" t="s">
        <v>2116</v>
      </c>
      <c r="B630" s="71" t="s">
        <v>1119</v>
      </c>
    </row>
    <row r="631">
      <c r="A631" s="72" t="s">
        <v>2117</v>
      </c>
      <c r="B631" s="72" t="s">
        <v>1343</v>
      </c>
    </row>
    <row r="632">
      <c r="A632" s="71" t="s">
        <v>2118</v>
      </c>
      <c r="B632" s="71" t="s">
        <v>2119</v>
      </c>
    </row>
    <row r="633">
      <c r="A633" s="72" t="s">
        <v>2120</v>
      </c>
      <c r="B633" s="72" t="s">
        <v>1119</v>
      </c>
    </row>
    <row r="634">
      <c r="A634" s="71" t="s">
        <v>2121</v>
      </c>
      <c r="B634" s="71" t="s">
        <v>2122</v>
      </c>
    </row>
    <row r="635">
      <c r="A635" s="72" t="s">
        <v>2123</v>
      </c>
      <c r="B635" s="72" t="s">
        <v>1960</v>
      </c>
    </row>
    <row r="636">
      <c r="A636" s="71" t="s">
        <v>2124</v>
      </c>
      <c r="B636" s="71" t="s">
        <v>2125</v>
      </c>
    </row>
    <row r="637">
      <c r="A637" s="72" t="s">
        <v>2126</v>
      </c>
      <c r="B637" s="72" t="s">
        <v>2127</v>
      </c>
    </row>
    <row r="638">
      <c r="A638" s="71" t="s">
        <v>2128</v>
      </c>
      <c r="B638" s="71" t="s">
        <v>2129</v>
      </c>
    </row>
    <row r="639">
      <c r="A639" s="72" t="s">
        <v>2130</v>
      </c>
      <c r="B639" s="72" t="s">
        <v>1425</v>
      </c>
    </row>
    <row r="640">
      <c r="A640" s="71" t="s">
        <v>2131</v>
      </c>
      <c r="B640" s="71" t="s">
        <v>1775</v>
      </c>
    </row>
    <row r="641">
      <c r="A641" s="72" t="s">
        <v>2132</v>
      </c>
      <c r="B641" s="72" t="s">
        <v>1590</v>
      </c>
    </row>
    <row r="642">
      <c r="A642" s="71" t="s">
        <v>2133</v>
      </c>
      <c r="B642" s="71" t="s">
        <v>2134</v>
      </c>
    </row>
    <row r="643">
      <c r="A643" s="72" t="s">
        <v>2135</v>
      </c>
      <c r="B643" s="72" t="s">
        <v>1179</v>
      </c>
    </row>
    <row r="644">
      <c r="A644" s="71" t="s">
        <v>2136</v>
      </c>
      <c r="B644" s="71" t="s">
        <v>2137</v>
      </c>
    </row>
    <row r="645">
      <c r="A645" s="72" t="s">
        <v>2138</v>
      </c>
      <c r="B645" s="72" t="s">
        <v>1187</v>
      </c>
    </row>
    <row r="646">
      <c r="A646" s="71" t="s">
        <v>2139</v>
      </c>
      <c r="B646" s="71" t="s">
        <v>1274</v>
      </c>
    </row>
    <row r="647">
      <c r="A647" s="72" t="s">
        <v>2140</v>
      </c>
      <c r="B647" s="72" t="s">
        <v>1205</v>
      </c>
    </row>
    <row r="648">
      <c r="A648" s="71" t="s">
        <v>2141</v>
      </c>
      <c r="B648" s="71" t="s">
        <v>1286</v>
      </c>
    </row>
    <row r="649">
      <c r="A649" s="72" t="s">
        <v>2142</v>
      </c>
      <c r="B649" s="72" t="s">
        <v>2143</v>
      </c>
    </row>
    <row r="650">
      <c r="A650" s="71" t="s">
        <v>2144</v>
      </c>
      <c r="B650" s="71" t="s">
        <v>1203</v>
      </c>
    </row>
    <row r="651">
      <c r="A651" s="72" t="s">
        <v>2145</v>
      </c>
      <c r="B651" s="72" t="s">
        <v>1179</v>
      </c>
    </row>
    <row r="652">
      <c r="A652" s="71" t="s">
        <v>2146</v>
      </c>
      <c r="B652" s="71" t="s">
        <v>2147</v>
      </c>
    </row>
    <row r="653">
      <c r="A653" s="72" t="s">
        <v>2148</v>
      </c>
      <c r="B653" s="72" t="s">
        <v>1290</v>
      </c>
    </row>
    <row r="654">
      <c r="A654" s="71" t="s">
        <v>2149</v>
      </c>
      <c r="B654" s="71" t="s">
        <v>1925</v>
      </c>
    </row>
    <row r="655">
      <c r="A655" s="72" t="s">
        <v>2150</v>
      </c>
      <c r="B655" s="72" t="s">
        <v>1132</v>
      </c>
    </row>
    <row r="656">
      <c r="A656" s="71" t="s">
        <v>2151</v>
      </c>
      <c r="B656" s="71" t="s">
        <v>1119</v>
      </c>
    </row>
    <row r="657">
      <c r="A657" s="72" t="s">
        <v>2152</v>
      </c>
      <c r="B657" s="72" t="s">
        <v>1203</v>
      </c>
    </row>
    <row r="658">
      <c r="A658" s="71" t="s">
        <v>2153</v>
      </c>
      <c r="B658" s="71" t="s">
        <v>1113</v>
      </c>
    </row>
    <row r="659">
      <c r="A659" s="72" t="s">
        <v>2154</v>
      </c>
      <c r="B659" s="72" t="s">
        <v>2155</v>
      </c>
    </row>
    <row r="660">
      <c r="A660" s="71" t="s">
        <v>2156</v>
      </c>
      <c r="B660" s="71" t="s">
        <v>1159</v>
      </c>
    </row>
    <row r="661">
      <c r="A661" s="72" t="s">
        <v>2157</v>
      </c>
      <c r="B661" s="72" t="s">
        <v>1144</v>
      </c>
    </row>
    <row r="662">
      <c r="A662" s="71" t="s">
        <v>2158</v>
      </c>
      <c r="B662" s="71" t="s">
        <v>2159</v>
      </c>
    </row>
    <row r="663">
      <c r="A663" s="72" t="s">
        <v>2160</v>
      </c>
      <c r="B663" s="72" t="s">
        <v>2161</v>
      </c>
    </row>
    <row r="664">
      <c r="A664" s="71" t="s">
        <v>2162</v>
      </c>
      <c r="B664" s="71" t="s">
        <v>2163</v>
      </c>
    </row>
    <row r="665">
      <c r="A665" s="72" t="s">
        <v>2164</v>
      </c>
      <c r="B665" s="72" t="s">
        <v>1284</v>
      </c>
    </row>
    <row r="666">
      <c r="A666" s="71" t="s">
        <v>2165</v>
      </c>
      <c r="B666" s="71" t="s">
        <v>1310</v>
      </c>
    </row>
    <row r="667">
      <c r="A667" s="72" t="s">
        <v>2166</v>
      </c>
      <c r="B667" s="72" t="s">
        <v>1402</v>
      </c>
    </row>
    <row r="668">
      <c r="A668" s="71" t="s">
        <v>2167</v>
      </c>
      <c r="B668" s="71" t="s">
        <v>2168</v>
      </c>
    </row>
    <row r="669">
      <c r="A669" s="72" t="s">
        <v>2169</v>
      </c>
      <c r="B669" s="72" t="s">
        <v>2170</v>
      </c>
    </row>
    <row r="670">
      <c r="A670" s="71" t="s">
        <v>2171</v>
      </c>
      <c r="B670" s="71" t="s">
        <v>2172</v>
      </c>
    </row>
    <row r="671">
      <c r="A671" s="72" t="s">
        <v>2173</v>
      </c>
      <c r="B671" s="72" t="s">
        <v>2174</v>
      </c>
    </row>
    <row r="672">
      <c r="A672" s="71" t="s">
        <v>2175</v>
      </c>
      <c r="B672" s="71" t="s">
        <v>1672</v>
      </c>
    </row>
    <row r="673">
      <c r="A673" s="72" t="s">
        <v>2176</v>
      </c>
      <c r="B673" s="72" t="s">
        <v>1142</v>
      </c>
    </row>
    <row r="674">
      <c r="A674" s="71" t="s">
        <v>2177</v>
      </c>
      <c r="B674" s="71" t="s">
        <v>2178</v>
      </c>
    </row>
    <row r="675">
      <c r="A675" s="72" t="s">
        <v>2179</v>
      </c>
      <c r="B675" s="72" t="s">
        <v>1455</v>
      </c>
    </row>
    <row r="676">
      <c r="A676" s="71" t="s">
        <v>2180</v>
      </c>
      <c r="B676" s="71" t="s">
        <v>1875</v>
      </c>
    </row>
    <row r="677">
      <c r="A677" s="72" t="s">
        <v>2181</v>
      </c>
      <c r="B677" s="72" t="s">
        <v>1349</v>
      </c>
    </row>
    <row r="678">
      <c r="A678" s="71" t="s">
        <v>2182</v>
      </c>
      <c r="B678" s="71" t="s">
        <v>2183</v>
      </c>
    </row>
    <row r="679">
      <c r="A679" s="72" t="s">
        <v>2184</v>
      </c>
      <c r="B679" s="72" t="s">
        <v>1175</v>
      </c>
    </row>
    <row r="680">
      <c r="A680" s="71" t="s">
        <v>2185</v>
      </c>
      <c r="B680" s="71" t="s">
        <v>2186</v>
      </c>
    </row>
    <row r="681">
      <c r="A681" s="72" t="s">
        <v>2187</v>
      </c>
      <c r="B681" s="72" t="s">
        <v>1455</v>
      </c>
    </row>
    <row r="682">
      <c r="A682" s="71" t="s">
        <v>2188</v>
      </c>
      <c r="B682" s="71" t="s">
        <v>1175</v>
      </c>
    </row>
    <row r="683">
      <c r="A683" s="72" t="s">
        <v>2189</v>
      </c>
      <c r="B683" s="72" t="s">
        <v>1218</v>
      </c>
    </row>
    <row r="684">
      <c r="A684" s="71" t="s">
        <v>2190</v>
      </c>
      <c r="B684" s="71" t="s">
        <v>2191</v>
      </c>
    </row>
    <row r="685">
      <c r="A685" s="72" t="s">
        <v>2192</v>
      </c>
      <c r="B685" s="72" t="s">
        <v>2193</v>
      </c>
    </row>
    <row r="686">
      <c r="A686" s="71" t="s">
        <v>2194</v>
      </c>
      <c r="B686" s="71" t="s">
        <v>1967</v>
      </c>
    </row>
    <row r="687">
      <c r="A687" s="72" t="s">
        <v>2195</v>
      </c>
      <c r="B687" s="72" t="s">
        <v>1867</v>
      </c>
    </row>
    <row r="688">
      <c r="A688" s="71" t="s">
        <v>2196</v>
      </c>
      <c r="B688" s="71" t="s">
        <v>1708</v>
      </c>
    </row>
    <row r="689">
      <c r="A689" s="72" t="s">
        <v>2197</v>
      </c>
      <c r="B689" s="72" t="s">
        <v>1156</v>
      </c>
    </row>
    <row r="690">
      <c r="A690" s="71" t="s">
        <v>2198</v>
      </c>
      <c r="B690" s="71" t="s">
        <v>2199</v>
      </c>
    </row>
    <row r="691">
      <c r="A691" s="72" t="s">
        <v>2200</v>
      </c>
      <c r="B691" s="72" t="s">
        <v>2201</v>
      </c>
    </row>
    <row r="692">
      <c r="A692" s="71" t="s">
        <v>2202</v>
      </c>
      <c r="B692" s="71" t="s">
        <v>1156</v>
      </c>
    </row>
    <row r="693">
      <c r="A693" s="72" t="s">
        <v>2203</v>
      </c>
      <c r="B693" s="72" t="s">
        <v>1910</v>
      </c>
    </row>
    <row r="694">
      <c r="A694" s="71" t="s">
        <v>2204</v>
      </c>
      <c r="B694" s="71" t="s">
        <v>1230</v>
      </c>
    </row>
    <row r="695">
      <c r="A695" s="72" t="s">
        <v>2205</v>
      </c>
      <c r="B695" s="72" t="s">
        <v>2206</v>
      </c>
    </row>
    <row r="696">
      <c r="A696" s="71" t="s">
        <v>2207</v>
      </c>
      <c r="B696" s="71" t="s">
        <v>2208</v>
      </c>
    </row>
    <row r="697">
      <c r="A697" s="72" t="s">
        <v>2209</v>
      </c>
      <c r="B697" s="72" t="s">
        <v>1402</v>
      </c>
    </row>
    <row r="698">
      <c r="A698" s="71" t="s">
        <v>2210</v>
      </c>
      <c r="B698" s="71" t="s">
        <v>1493</v>
      </c>
    </row>
    <row r="699">
      <c r="A699" s="72" t="s">
        <v>2211</v>
      </c>
      <c r="B699" s="72" t="s">
        <v>1402</v>
      </c>
    </row>
    <row r="700">
      <c r="A700" s="71" t="s">
        <v>2212</v>
      </c>
      <c r="B700" s="71" t="s">
        <v>1119</v>
      </c>
    </row>
    <row r="701">
      <c r="A701" s="72" t="s">
        <v>2213</v>
      </c>
      <c r="B701" s="72" t="s">
        <v>1775</v>
      </c>
    </row>
    <row r="702">
      <c r="A702" s="71" t="s">
        <v>2214</v>
      </c>
      <c r="B702" s="71" t="s">
        <v>1929</v>
      </c>
    </row>
    <row r="703">
      <c r="A703" s="72" t="s">
        <v>2215</v>
      </c>
      <c r="B703" s="72" t="s">
        <v>2216</v>
      </c>
    </row>
    <row r="704">
      <c r="A704" s="71" t="s">
        <v>2217</v>
      </c>
      <c r="B704" s="71" t="s">
        <v>2147</v>
      </c>
    </row>
    <row r="705">
      <c r="A705" s="72" t="s">
        <v>2218</v>
      </c>
      <c r="B705" s="72" t="s">
        <v>2219</v>
      </c>
    </row>
    <row r="706">
      <c r="A706" s="71" t="s">
        <v>2220</v>
      </c>
      <c r="B706" s="71" t="s">
        <v>2221</v>
      </c>
    </row>
    <row r="707">
      <c r="A707" s="72" t="s">
        <v>2222</v>
      </c>
      <c r="B707" s="72" t="s">
        <v>1785</v>
      </c>
    </row>
    <row r="708">
      <c r="A708" s="71" t="s">
        <v>2223</v>
      </c>
      <c r="B708" s="71" t="s">
        <v>1163</v>
      </c>
    </row>
    <row r="709">
      <c r="A709" s="72" t="s">
        <v>2224</v>
      </c>
      <c r="B709" s="72" t="s">
        <v>1993</v>
      </c>
    </row>
    <row r="710">
      <c r="A710" s="71" t="s">
        <v>2225</v>
      </c>
      <c r="B710" s="71" t="s">
        <v>1250</v>
      </c>
    </row>
    <row r="711">
      <c r="A711" s="72" t="s">
        <v>2226</v>
      </c>
      <c r="B711" s="72" t="s">
        <v>1140</v>
      </c>
    </row>
    <row r="712">
      <c r="A712" s="71" t="s">
        <v>2227</v>
      </c>
      <c r="B712" s="71" t="s">
        <v>2228</v>
      </c>
    </row>
    <row r="713">
      <c r="A713" s="72" t="s">
        <v>2229</v>
      </c>
      <c r="B713" s="72" t="s">
        <v>2230</v>
      </c>
    </row>
    <row r="714">
      <c r="A714" s="71" t="s">
        <v>2231</v>
      </c>
      <c r="B714" s="71" t="s">
        <v>2232</v>
      </c>
    </row>
    <row r="715">
      <c r="A715" s="72" t="s">
        <v>2233</v>
      </c>
      <c r="B715" s="72" t="s">
        <v>1220</v>
      </c>
    </row>
    <row r="716">
      <c r="A716" s="71" t="s">
        <v>2234</v>
      </c>
      <c r="B716" s="71" t="s">
        <v>1522</v>
      </c>
    </row>
    <row r="717">
      <c r="A717" s="72" t="s">
        <v>2235</v>
      </c>
      <c r="B717" s="72" t="s">
        <v>1156</v>
      </c>
    </row>
    <row r="718">
      <c r="A718" s="71" t="s">
        <v>2236</v>
      </c>
      <c r="B718" s="71" t="s">
        <v>1669</v>
      </c>
    </row>
    <row r="719">
      <c r="A719" s="72" t="s">
        <v>2237</v>
      </c>
      <c r="B719" s="72" t="s">
        <v>1406</v>
      </c>
    </row>
    <row r="720">
      <c r="A720" s="71" t="s">
        <v>2238</v>
      </c>
      <c r="B720" s="71" t="s">
        <v>1298</v>
      </c>
    </row>
    <row r="721">
      <c r="A721" s="72" t="s">
        <v>2239</v>
      </c>
      <c r="B721" s="72" t="s">
        <v>1274</v>
      </c>
    </row>
    <row r="722">
      <c r="A722" s="71" t="s">
        <v>2240</v>
      </c>
      <c r="B722" s="71" t="s">
        <v>1242</v>
      </c>
    </row>
    <row r="723">
      <c r="A723" s="72" t="s">
        <v>2241</v>
      </c>
      <c r="B723" s="72" t="s">
        <v>1205</v>
      </c>
    </row>
    <row r="724">
      <c r="A724" s="71" t="s">
        <v>2242</v>
      </c>
      <c r="B724" s="71" t="s">
        <v>1729</v>
      </c>
    </row>
    <row r="725">
      <c r="A725" s="72" t="s">
        <v>2243</v>
      </c>
      <c r="B725" s="72" t="s">
        <v>1203</v>
      </c>
    </row>
    <row r="726">
      <c r="A726" s="71" t="s">
        <v>2244</v>
      </c>
      <c r="B726" s="71" t="s">
        <v>1431</v>
      </c>
    </row>
    <row r="727">
      <c r="A727" s="72" t="s">
        <v>2245</v>
      </c>
      <c r="B727" s="72" t="s">
        <v>2246</v>
      </c>
    </row>
    <row r="728">
      <c r="A728" s="71" t="s">
        <v>2247</v>
      </c>
      <c r="B728" s="71" t="s">
        <v>2248</v>
      </c>
    </row>
    <row r="729">
      <c r="A729" s="72" t="s">
        <v>2249</v>
      </c>
      <c r="B729" s="72" t="s">
        <v>2250</v>
      </c>
    </row>
    <row r="730">
      <c r="A730" s="71" t="s">
        <v>2251</v>
      </c>
      <c r="B730" s="71" t="s">
        <v>1254</v>
      </c>
    </row>
    <row r="731">
      <c r="A731" s="72" t="s">
        <v>2252</v>
      </c>
      <c r="B731" s="72" t="s">
        <v>2253</v>
      </c>
    </row>
    <row r="732">
      <c r="A732" s="71" t="s">
        <v>2254</v>
      </c>
      <c r="B732" s="71" t="s">
        <v>1708</v>
      </c>
    </row>
    <row r="733">
      <c r="A733" s="72" t="s">
        <v>2255</v>
      </c>
      <c r="B733" s="72" t="s">
        <v>1697</v>
      </c>
    </row>
    <row r="734">
      <c r="A734" s="71" t="s">
        <v>2256</v>
      </c>
      <c r="B734" s="71" t="s">
        <v>2022</v>
      </c>
    </row>
    <row r="735">
      <c r="A735" s="72" t="s">
        <v>2257</v>
      </c>
      <c r="B735" s="72" t="s">
        <v>2258</v>
      </c>
    </row>
    <row r="736">
      <c r="A736" s="71" t="s">
        <v>2259</v>
      </c>
      <c r="B736" s="71" t="s">
        <v>1228</v>
      </c>
    </row>
    <row r="737">
      <c r="A737" s="72" t="s">
        <v>2260</v>
      </c>
      <c r="B737" s="72" t="s">
        <v>1967</v>
      </c>
    </row>
    <row r="738">
      <c r="A738" s="71" t="s">
        <v>2261</v>
      </c>
      <c r="B738" s="71" t="s">
        <v>1444</v>
      </c>
    </row>
    <row r="739">
      <c r="A739" s="72" t="s">
        <v>2262</v>
      </c>
      <c r="B739" s="72" t="s">
        <v>1117</v>
      </c>
    </row>
    <row r="740">
      <c r="A740" s="71" t="s">
        <v>2263</v>
      </c>
      <c r="B740" s="71" t="s">
        <v>2264</v>
      </c>
    </row>
    <row r="741">
      <c r="A741" s="72" t="s">
        <v>2265</v>
      </c>
      <c r="B741" s="72" t="s">
        <v>1215</v>
      </c>
    </row>
    <row r="742">
      <c r="A742" s="71" t="s">
        <v>2266</v>
      </c>
      <c r="B742" s="71" t="s">
        <v>2168</v>
      </c>
    </row>
    <row r="743">
      <c r="A743" s="72" t="s">
        <v>2267</v>
      </c>
      <c r="B743" s="72" t="s">
        <v>1284</v>
      </c>
    </row>
    <row r="744">
      <c r="A744" s="71" t="s">
        <v>2268</v>
      </c>
      <c r="B744" s="71" t="s">
        <v>1440</v>
      </c>
    </row>
    <row r="745">
      <c r="A745" s="72" t="s">
        <v>2269</v>
      </c>
      <c r="B745" s="72" t="s">
        <v>1507</v>
      </c>
    </row>
    <row r="746">
      <c r="A746" s="71" t="s">
        <v>2270</v>
      </c>
      <c r="B746" s="71" t="s">
        <v>2271</v>
      </c>
    </row>
    <row r="747">
      <c r="A747" s="72" t="s">
        <v>2272</v>
      </c>
      <c r="B747" s="72" t="s">
        <v>1322</v>
      </c>
    </row>
    <row r="748">
      <c r="A748" s="71" t="s">
        <v>2273</v>
      </c>
      <c r="B748" s="71" t="s">
        <v>1242</v>
      </c>
    </row>
    <row r="749">
      <c r="A749" s="72" t="s">
        <v>2274</v>
      </c>
      <c r="B749" s="72" t="s">
        <v>1117</v>
      </c>
    </row>
    <row r="750">
      <c r="A750" s="71" t="s">
        <v>2275</v>
      </c>
      <c r="B750" s="71" t="s">
        <v>1310</v>
      </c>
    </row>
    <row r="751">
      <c r="A751" s="72" t="s">
        <v>2276</v>
      </c>
      <c r="B751" s="72" t="s">
        <v>2277</v>
      </c>
    </row>
    <row r="752">
      <c r="A752" s="71" t="s">
        <v>2278</v>
      </c>
      <c r="B752" s="71" t="s">
        <v>1215</v>
      </c>
    </row>
    <row r="753">
      <c r="A753" s="72" t="s">
        <v>2279</v>
      </c>
      <c r="B753" s="72" t="s">
        <v>1310</v>
      </c>
    </row>
    <row r="754">
      <c r="A754" s="71" t="s">
        <v>2280</v>
      </c>
      <c r="B754" s="71" t="s">
        <v>1345</v>
      </c>
    </row>
    <row r="755">
      <c r="A755" s="72" t="s">
        <v>2281</v>
      </c>
      <c r="B755" s="72" t="s">
        <v>1146</v>
      </c>
    </row>
    <row r="756">
      <c r="A756" s="71" t="s">
        <v>2282</v>
      </c>
      <c r="B756" s="71" t="s">
        <v>2283</v>
      </c>
    </row>
    <row r="757">
      <c r="A757" s="72" t="s">
        <v>2284</v>
      </c>
      <c r="B757" s="72" t="s">
        <v>1910</v>
      </c>
    </row>
    <row r="758">
      <c r="A758" s="71" t="s">
        <v>2285</v>
      </c>
      <c r="B758" s="71" t="s">
        <v>2286</v>
      </c>
    </row>
    <row r="759">
      <c r="A759" s="72" t="s">
        <v>2287</v>
      </c>
      <c r="B759" s="72" t="s">
        <v>1242</v>
      </c>
    </row>
    <row r="760">
      <c r="A760" s="71" t="s">
        <v>2288</v>
      </c>
      <c r="B760" s="71" t="s">
        <v>2289</v>
      </c>
    </row>
    <row r="761">
      <c r="A761" s="72" t="s">
        <v>2290</v>
      </c>
      <c r="B761" s="72" t="s">
        <v>1805</v>
      </c>
    </row>
    <row r="762">
      <c r="A762" s="71" t="s">
        <v>2291</v>
      </c>
      <c r="B762" s="71" t="s">
        <v>1677</v>
      </c>
    </row>
    <row r="763">
      <c r="A763" s="72" t="s">
        <v>2292</v>
      </c>
      <c r="B763" s="72" t="s">
        <v>1113</v>
      </c>
    </row>
    <row r="764">
      <c r="A764" s="71" t="s">
        <v>2293</v>
      </c>
      <c r="B764" s="71" t="s">
        <v>1175</v>
      </c>
    </row>
    <row r="765">
      <c r="A765" s="72" t="s">
        <v>2294</v>
      </c>
      <c r="B765" s="72" t="s">
        <v>2295</v>
      </c>
    </row>
    <row r="766">
      <c r="A766" s="71" t="s">
        <v>2296</v>
      </c>
      <c r="B766" s="71" t="s">
        <v>1429</v>
      </c>
    </row>
    <row r="767">
      <c r="A767" s="72" t="s">
        <v>2297</v>
      </c>
      <c r="B767" s="72" t="s">
        <v>1590</v>
      </c>
    </row>
    <row r="768">
      <c r="A768" s="71" t="s">
        <v>2298</v>
      </c>
      <c r="B768" s="71" t="s">
        <v>1697</v>
      </c>
    </row>
    <row r="769">
      <c r="A769" s="72" t="s">
        <v>2299</v>
      </c>
      <c r="B769" s="72" t="s">
        <v>1254</v>
      </c>
    </row>
    <row r="770">
      <c r="A770" s="71" t="s">
        <v>2300</v>
      </c>
      <c r="B770" s="71" t="s">
        <v>1910</v>
      </c>
    </row>
    <row r="771">
      <c r="A771" s="72" t="s">
        <v>2301</v>
      </c>
      <c r="B771" s="72" t="s">
        <v>1236</v>
      </c>
    </row>
    <row r="772">
      <c r="A772" s="71" t="s">
        <v>2302</v>
      </c>
      <c r="B772" s="71" t="s">
        <v>1873</v>
      </c>
    </row>
    <row r="773">
      <c r="A773" s="72" t="s">
        <v>2303</v>
      </c>
      <c r="B773" s="72" t="s">
        <v>2304</v>
      </c>
    </row>
    <row r="774">
      <c r="A774" s="71" t="s">
        <v>2305</v>
      </c>
      <c r="B774" s="71" t="s">
        <v>2306</v>
      </c>
    </row>
    <row r="775">
      <c r="A775" s="72" t="s">
        <v>2307</v>
      </c>
      <c r="B775" s="72" t="s">
        <v>1146</v>
      </c>
    </row>
    <row r="776">
      <c r="A776" s="71" t="s">
        <v>2308</v>
      </c>
      <c r="B776" s="71" t="s">
        <v>1117</v>
      </c>
    </row>
    <row r="777">
      <c r="A777" s="72" t="s">
        <v>2309</v>
      </c>
      <c r="B777" s="72" t="s">
        <v>1245</v>
      </c>
    </row>
    <row r="778">
      <c r="A778" s="71" t="s">
        <v>2310</v>
      </c>
      <c r="B778" s="71" t="s">
        <v>1187</v>
      </c>
    </row>
    <row r="779">
      <c r="A779" s="72" t="s">
        <v>2311</v>
      </c>
      <c r="B779" s="72" t="s">
        <v>1167</v>
      </c>
    </row>
    <row r="780">
      <c r="A780" s="71" t="s">
        <v>2312</v>
      </c>
      <c r="B780" s="71" t="s">
        <v>1199</v>
      </c>
    </row>
    <row r="781">
      <c r="A781" s="72" t="s">
        <v>2313</v>
      </c>
      <c r="B781" s="72" t="s">
        <v>2314</v>
      </c>
    </row>
    <row r="782">
      <c r="A782" s="71" t="s">
        <v>2315</v>
      </c>
      <c r="B782" s="71" t="s">
        <v>2316</v>
      </c>
    </row>
    <row r="783">
      <c r="A783" s="72" t="s">
        <v>2317</v>
      </c>
      <c r="B783" s="72" t="s">
        <v>1144</v>
      </c>
    </row>
    <row r="784">
      <c r="A784" s="71" t="s">
        <v>2318</v>
      </c>
      <c r="B784" s="71" t="s">
        <v>2319</v>
      </c>
    </row>
    <row r="785">
      <c r="A785" s="72" t="s">
        <v>2320</v>
      </c>
      <c r="B785" s="72" t="s">
        <v>1993</v>
      </c>
    </row>
    <row r="786">
      <c r="A786" s="71" t="s">
        <v>2321</v>
      </c>
      <c r="B786" s="71" t="s">
        <v>1345</v>
      </c>
    </row>
    <row r="787">
      <c r="A787" s="72" t="s">
        <v>2322</v>
      </c>
      <c r="B787" s="72" t="s">
        <v>2323</v>
      </c>
    </row>
    <row r="788">
      <c r="A788" s="71" t="s">
        <v>2324</v>
      </c>
      <c r="B788" s="71" t="s">
        <v>1440</v>
      </c>
    </row>
    <row r="789">
      <c r="A789" s="72" t="s">
        <v>2325</v>
      </c>
      <c r="B789" s="72" t="s">
        <v>1142</v>
      </c>
    </row>
    <row r="790">
      <c r="A790" s="71" t="s">
        <v>2326</v>
      </c>
      <c r="B790" s="71" t="s">
        <v>2327</v>
      </c>
    </row>
    <row r="791">
      <c r="A791" s="72" t="s">
        <v>2328</v>
      </c>
      <c r="B791" s="72" t="s">
        <v>1169</v>
      </c>
    </row>
    <row r="792">
      <c r="A792" s="71" t="s">
        <v>2329</v>
      </c>
      <c r="B792" s="71" t="s">
        <v>2330</v>
      </c>
    </row>
    <row r="793">
      <c r="A793" s="72" t="s">
        <v>2331</v>
      </c>
      <c r="B793" s="72" t="s">
        <v>2332</v>
      </c>
    </row>
    <row r="794">
      <c r="A794" s="71" t="s">
        <v>2333</v>
      </c>
      <c r="B794" s="71" t="s">
        <v>1967</v>
      </c>
    </row>
    <row r="795">
      <c r="A795" s="72" t="s">
        <v>2334</v>
      </c>
      <c r="B795" s="72" t="s">
        <v>2043</v>
      </c>
    </row>
    <row r="796">
      <c r="A796" s="71" t="s">
        <v>2335</v>
      </c>
      <c r="B796" s="71" t="s">
        <v>2336</v>
      </c>
    </row>
    <row r="797">
      <c r="A797" s="72" t="s">
        <v>2337</v>
      </c>
      <c r="B797" s="72" t="s">
        <v>1156</v>
      </c>
    </row>
    <row r="798">
      <c r="A798" s="71" t="s">
        <v>2338</v>
      </c>
      <c r="B798" s="71" t="s">
        <v>1471</v>
      </c>
    </row>
    <row r="799">
      <c r="A799" s="72" t="s">
        <v>2339</v>
      </c>
      <c r="B799" s="72" t="s">
        <v>2340</v>
      </c>
    </row>
    <row r="800">
      <c r="A800" s="71" t="s">
        <v>2341</v>
      </c>
      <c r="B800" s="71" t="s">
        <v>2342</v>
      </c>
    </row>
    <row r="801">
      <c r="A801" s="72" t="s">
        <v>2343</v>
      </c>
      <c r="B801" s="72" t="s">
        <v>1967</v>
      </c>
    </row>
    <row r="802">
      <c r="A802" s="71" t="s">
        <v>2344</v>
      </c>
      <c r="B802" s="71" t="s">
        <v>2345</v>
      </c>
    </row>
    <row r="803">
      <c r="A803" s="72" t="s">
        <v>2346</v>
      </c>
      <c r="B803" s="72" t="s">
        <v>2347</v>
      </c>
    </row>
    <row r="804">
      <c r="A804" s="71" t="s">
        <v>2348</v>
      </c>
      <c r="B804" s="71" t="s">
        <v>1125</v>
      </c>
    </row>
    <row r="805">
      <c r="A805" s="72" t="s">
        <v>2349</v>
      </c>
      <c r="B805" s="72" t="s">
        <v>1146</v>
      </c>
    </row>
    <row r="806">
      <c r="A806" s="71" t="s">
        <v>2350</v>
      </c>
      <c r="B806" s="71" t="s">
        <v>2351</v>
      </c>
    </row>
    <row r="807">
      <c r="A807" s="72" t="s">
        <v>2352</v>
      </c>
      <c r="B807" s="72" t="s">
        <v>1284</v>
      </c>
    </row>
    <row r="808">
      <c r="A808" s="71" t="s">
        <v>2353</v>
      </c>
      <c r="B808" s="71" t="s">
        <v>2354</v>
      </c>
    </row>
    <row r="809">
      <c r="A809" s="72" t="s">
        <v>2355</v>
      </c>
      <c r="B809" s="72" t="s">
        <v>1380</v>
      </c>
    </row>
    <row r="810">
      <c r="A810" s="71" t="s">
        <v>2356</v>
      </c>
      <c r="B810" s="71" t="s">
        <v>1254</v>
      </c>
    </row>
    <row r="811">
      <c r="A811" s="72" t="s">
        <v>2357</v>
      </c>
      <c r="B811" s="72" t="s">
        <v>2358</v>
      </c>
    </row>
    <row r="812">
      <c r="A812" s="71" t="s">
        <v>2359</v>
      </c>
      <c r="B812" s="71" t="s">
        <v>2360</v>
      </c>
    </row>
    <row r="813">
      <c r="A813" s="72" t="s">
        <v>2361</v>
      </c>
      <c r="B813" s="72" t="s">
        <v>1167</v>
      </c>
    </row>
    <row r="814">
      <c r="A814" s="71" t="s">
        <v>2362</v>
      </c>
      <c r="B814" s="71" t="s">
        <v>2363</v>
      </c>
    </row>
    <row r="815">
      <c r="A815" s="72" t="s">
        <v>2364</v>
      </c>
      <c r="B815" s="72" t="s">
        <v>1345</v>
      </c>
    </row>
    <row r="816">
      <c r="A816" s="71" t="s">
        <v>2365</v>
      </c>
      <c r="B816" s="71" t="s">
        <v>1495</v>
      </c>
    </row>
    <row r="817">
      <c r="A817" s="72" t="s">
        <v>2366</v>
      </c>
      <c r="B817" s="72" t="s">
        <v>1590</v>
      </c>
    </row>
    <row r="818">
      <c r="A818" s="71" t="s">
        <v>2367</v>
      </c>
      <c r="B818" s="71" t="s">
        <v>2368</v>
      </c>
    </row>
    <row r="819">
      <c r="A819" s="72" t="s">
        <v>2369</v>
      </c>
      <c r="B819" s="72" t="s">
        <v>1146</v>
      </c>
    </row>
    <row r="820">
      <c r="A820" s="71" t="s">
        <v>2370</v>
      </c>
      <c r="B820" s="71" t="s">
        <v>1390</v>
      </c>
    </row>
    <row r="821">
      <c r="A821" s="72" t="s">
        <v>2371</v>
      </c>
      <c r="B821" s="72" t="s">
        <v>1224</v>
      </c>
    </row>
    <row r="822">
      <c r="A822" s="71" t="s">
        <v>2372</v>
      </c>
      <c r="B822" s="71" t="s">
        <v>1175</v>
      </c>
    </row>
    <row r="823">
      <c r="A823" s="72" t="s">
        <v>2373</v>
      </c>
      <c r="B823" s="72" t="s">
        <v>1737</v>
      </c>
    </row>
    <row r="824">
      <c r="A824" s="71" t="s">
        <v>2374</v>
      </c>
      <c r="B824" s="71" t="s">
        <v>1694</v>
      </c>
    </row>
    <row r="825">
      <c r="A825" s="72" t="s">
        <v>2375</v>
      </c>
      <c r="B825" s="72" t="s">
        <v>1187</v>
      </c>
    </row>
    <row r="826">
      <c r="A826" s="71" t="s">
        <v>2376</v>
      </c>
      <c r="B826" s="71" t="s">
        <v>1156</v>
      </c>
    </row>
    <row r="827">
      <c r="A827" s="72" t="s">
        <v>2377</v>
      </c>
      <c r="B827" s="72" t="s">
        <v>2378</v>
      </c>
    </row>
    <row r="828">
      <c r="A828" s="71" t="s">
        <v>2379</v>
      </c>
      <c r="B828" s="71" t="s">
        <v>1867</v>
      </c>
    </row>
    <row r="829">
      <c r="A829" s="72" t="s">
        <v>2380</v>
      </c>
      <c r="B829" s="72" t="s">
        <v>1254</v>
      </c>
    </row>
    <row r="830">
      <c r="A830" s="71" t="s">
        <v>2381</v>
      </c>
      <c r="B830" s="71" t="s">
        <v>2382</v>
      </c>
    </row>
    <row r="831">
      <c r="A831" s="72" t="s">
        <v>2383</v>
      </c>
      <c r="B831" s="72" t="s">
        <v>2127</v>
      </c>
    </row>
    <row r="832">
      <c r="A832" s="71" t="s">
        <v>2384</v>
      </c>
      <c r="B832" s="71" t="s">
        <v>2385</v>
      </c>
    </row>
    <row r="833">
      <c r="A833" s="72" t="s">
        <v>2386</v>
      </c>
      <c r="B833" s="72" t="s">
        <v>2387</v>
      </c>
    </row>
    <row r="834">
      <c r="A834" s="71" t="s">
        <v>2388</v>
      </c>
      <c r="B834" s="71" t="s">
        <v>1282</v>
      </c>
    </row>
    <row r="835">
      <c r="A835" s="72" t="s">
        <v>2389</v>
      </c>
      <c r="B835" s="72" t="s">
        <v>1822</v>
      </c>
    </row>
    <row r="836">
      <c r="A836" s="71" t="s">
        <v>2390</v>
      </c>
      <c r="B836" s="71" t="s">
        <v>2391</v>
      </c>
    </row>
    <row r="837">
      <c r="A837" s="72" t="s">
        <v>2392</v>
      </c>
      <c r="B837" s="72" t="s">
        <v>1440</v>
      </c>
    </row>
    <row r="838">
      <c r="A838" s="71" t="s">
        <v>2393</v>
      </c>
      <c r="B838" s="71" t="s">
        <v>1136</v>
      </c>
    </row>
    <row r="839">
      <c r="A839" s="72" t="s">
        <v>2394</v>
      </c>
      <c r="B839" s="72" t="s">
        <v>2340</v>
      </c>
    </row>
    <row r="840">
      <c r="A840" s="71" t="s">
        <v>2395</v>
      </c>
      <c r="B840" s="71" t="s">
        <v>1355</v>
      </c>
    </row>
    <row r="841">
      <c r="A841" s="72" t="s">
        <v>2396</v>
      </c>
      <c r="B841" s="72" t="s">
        <v>2397</v>
      </c>
    </row>
    <row r="842">
      <c r="A842" s="71" t="s">
        <v>2398</v>
      </c>
      <c r="B842" s="71" t="s">
        <v>1697</v>
      </c>
    </row>
    <row r="843">
      <c r="A843" s="72" t="s">
        <v>2399</v>
      </c>
      <c r="B843" s="72" t="s">
        <v>2400</v>
      </c>
    </row>
    <row r="844">
      <c r="A844" s="71" t="s">
        <v>2401</v>
      </c>
      <c r="B844" s="71" t="s">
        <v>2402</v>
      </c>
    </row>
    <row r="845">
      <c r="A845" s="72" t="s">
        <v>2403</v>
      </c>
      <c r="B845" s="72" t="s">
        <v>2404</v>
      </c>
    </row>
    <row r="846">
      <c r="A846" s="71" t="s">
        <v>2405</v>
      </c>
      <c r="B846" s="71" t="s">
        <v>1390</v>
      </c>
    </row>
    <row r="847">
      <c r="A847" s="72" t="s">
        <v>2406</v>
      </c>
      <c r="B847" s="72" t="s">
        <v>1390</v>
      </c>
    </row>
    <row r="848">
      <c r="A848" s="71" t="s">
        <v>2407</v>
      </c>
      <c r="B848" s="71" t="s">
        <v>1406</v>
      </c>
    </row>
    <row r="849">
      <c r="A849" s="72" t="s">
        <v>2408</v>
      </c>
      <c r="B849" s="72" t="s">
        <v>2409</v>
      </c>
    </row>
    <row r="850">
      <c r="A850" s="71" t="s">
        <v>2410</v>
      </c>
      <c r="B850" s="71" t="s">
        <v>1590</v>
      </c>
    </row>
    <row r="851">
      <c r="A851" s="72" t="s">
        <v>2411</v>
      </c>
      <c r="B851" s="72" t="s">
        <v>2412</v>
      </c>
    </row>
    <row r="852">
      <c r="A852" s="71" t="s">
        <v>2413</v>
      </c>
      <c r="B852" s="71" t="s">
        <v>2414</v>
      </c>
    </row>
    <row r="853">
      <c r="A853" s="72" t="s">
        <v>2415</v>
      </c>
      <c r="B853" s="72" t="s">
        <v>2416</v>
      </c>
    </row>
    <row r="854">
      <c r="A854" s="71" t="s">
        <v>2417</v>
      </c>
      <c r="B854" s="71" t="s">
        <v>2418</v>
      </c>
    </row>
    <row r="855">
      <c r="A855" s="72" t="s">
        <v>2419</v>
      </c>
      <c r="B855" s="72" t="s">
        <v>1220</v>
      </c>
    </row>
    <row r="856">
      <c r="A856" s="71" t="s">
        <v>2420</v>
      </c>
      <c r="B856" s="71" t="s">
        <v>1187</v>
      </c>
    </row>
    <row r="857">
      <c r="A857" s="72" t="s">
        <v>2421</v>
      </c>
      <c r="B857" s="72" t="s">
        <v>1220</v>
      </c>
    </row>
    <row r="858">
      <c r="A858" s="71" t="s">
        <v>2422</v>
      </c>
      <c r="B858" s="71" t="s">
        <v>2423</v>
      </c>
    </row>
    <row r="859">
      <c r="A859" s="72" t="s">
        <v>2424</v>
      </c>
      <c r="B859" s="72" t="s">
        <v>1337</v>
      </c>
    </row>
    <row r="860">
      <c r="A860" s="71" t="s">
        <v>2425</v>
      </c>
      <c r="B860" s="71" t="s">
        <v>1567</v>
      </c>
    </row>
    <row r="861">
      <c r="A861" s="72" t="s">
        <v>2426</v>
      </c>
      <c r="B861" s="72" t="s">
        <v>2427</v>
      </c>
    </row>
    <row r="862">
      <c r="A862" s="71" t="s">
        <v>2428</v>
      </c>
      <c r="B862" s="71" t="s">
        <v>2035</v>
      </c>
    </row>
    <row r="863">
      <c r="A863" s="72" t="s">
        <v>2429</v>
      </c>
      <c r="B863" s="72" t="s">
        <v>1590</v>
      </c>
    </row>
    <row r="864">
      <c r="A864" s="71" t="s">
        <v>2430</v>
      </c>
      <c r="B864" s="71" t="s">
        <v>2431</v>
      </c>
    </row>
    <row r="865">
      <c r="A865" s="72" t="s">
        <v>2432</v>
      </c>
      <c r="B865" s="72" t="s">
        <v>2433</v>
      </c>
    </row>
    <row r="866">
      <c r="A866" s="71" t="s">
        <v>2434</v>
      </c>
      <c r="B866" s="71" t="s">
        <v>1254</v>
      </c>
    </row>
    <row r="867">
      <c r="A867" s="72" t="s">
        <v>2435</v>
      </c>
      <c r="B867" s="72" t="s">
        <v>2436</v>
      </c>
    </row>
    <row r="868">
      <c r="A868" s="71" t="s">
        <v>2437</v>
      </c>
      <c r="B868" s="71" t="s">
        <v>2438</v>
      </c>
    </row>
    <row r="869">
      <c r="A869" s="72" t="s">
        <v>2439</v>
      </c>
      <c r="B869" s="72" t="s">
        <v>1402</v>
      </c>
    </row>
    <row r="870">
      <c r="A870" s="71" t="s">
        <v>2440</v>
      </c>
      <c r="B870" s="71" t="s">
        <v>2441</v>
      </c>
    </row>
    <row r="871">
      <c r="A871" s="72" t="s">
        <v>2442</v>
      </c>
      <c r="B871" s="72" t="s">
        <v>2443</v>
      </c>
    </row>
    <row r="872">
      <c r="A872" s="71" t="s">
        <v>2444</v>
      </c>
      <c r="B872" s="71" t="s">
        <v>2159</v>
      </c>
    </row>
    <row r="873">
      <c r="A873" s="72" t="s">
        <v>2445</v>
      </c>
      <c r="B873" s="72" t="s">
        <v>1848</v>
      </c>
    </row>
    <row r="874">
      <c r="A874" s="71" t="s">
        <v>2446</v>
      </c>
      <c r="B874" s="71" t="s">
        <v>1181</v>
      </c>
    </row>
    <row r="875">
      <c r="A875" s="72" t="s">
        <v>2447</v>
      </c>
      <c r="B875" s="72" t="s">
        <v>1355</v>
      </c>
    </row>
    <row r="876">
      <c r="A876" s="71" t="s">
        <v>2448</v>
      </c>
      <c r="B876" s="71" t="s">
        <v>1337</v>
      </c>
    </row>
    <row r="877">
      <c r="A877" s="72" t="s">
        <v>2449</v>
      </c>
      <c r="B877" s="72" t="s">
        <v>2450</v>
      </c>
    </row>
    <row r="878">
      <c r="A878" s="71" t="s">
        <v>2451</v>
      </c>
      <c r="B878" s="71" t="s">
        <v>1187</v>
      </c>
    </row>
    <row r="879">
      <c r="A879" s="72" t="s">
        <v>2452</v>
      </c>
      <c r="B879" s="72" t="s">
        <v>1252</v>
      </c>
    </row>
    <row r="880">
      <c r="A880" s="71" t="s">
        <v>2453</v>
      </c>
      <c r="B880" s="71" t="s">
        <v>1290</v>
      </c>
    </row>
    <row r="881">
      <c r="A881" s="72" t="s">
        <v>2454</v>
      </c>
      <c r="B881" s="72" t="s">
        <v>2455</v>
      </c>
    </row>
    <row r="882">
      <c r="A882" s="71" t="s">
        <v>2456</v>
      </c>
      <c r="B882" s="71" t="s">
        <v>1218</v>
      </c>
    </row>
    <row r="883">
      <c r="A883" s="72" t="s">
        <v>2457</v>
      </c>
      <c r="B883" s="72" t="s">
        <v>1247</v>
      </c>
    </row>
    <row r="884">
      <c r="A884" s="71" t="s">
        <v>2458</v>
      </c>
      <c r="B884" s="71" t="s">
        <v>1967</v>
      </c>
    </row>
    <row r="885">
      <c r="A885" s="72" t="s">
        <v>2459</v>
      </c>
      <c r="B885" s="72" t="s">
        <v>1816</v>
      </c>
    </row>
    <row r="886">
      <c r="A886" s="71" t="s">
        <v>2460</v>
      </c>
      <c r="B886" s="71" t="s">
        <v>2461</v>
      </c>
    </row>
    <row r="887">
      <c r="A887" s="72" t="s">
        <v>2462</v>
      </c>
      <c r="B887" s="72" t="s">
        <v>1429</v>
      </c>
    </row>
    <row r="888">
      <c r="A888" s="71" t="s">
        <v>2463</v>
      </c>
      <c r="B888" s="71" t="s">
        <v>1179</v>
      </c>
    </row>
    <row r="889">
      <c r="A889" s="72" t="s">
        <v>2464</v>
      </c>
      <c r="B889" s="72" t="s">
        <v>2465</v>
      </c>
    </row>
    <row r="890">
      <c r="A890" s="71" t="s">
        <v>2466</v>
      </c>
      <c r="B890" s="71" t="s">
        <v>2467</v>
      </c>
    </row>
    <row r="891">
      <c r="A891" s="72" t="s">
        <v>2468</v>
      </c>
      <c r="B891" s="72" t="s">
        <v>1590</v>
      </c>
    </row>
    <row r="892">
      <c r="A892" s="71" t="s">
        <v>2469</v>
      </c>
      <c r="B892" s="71" t="s">
        <v>1284</v>
      </c>
    </row>
    <row r="893">
      <c r="A893" s="72" t="s">
        <v>2470</v>
      </c>
      <c r="B893" s="72" t="s">
        <v>1187</v>
      </c>
    </row>
    <row r="894">
      <c r="A894" s="71" t="s">
        <v>2471</v>
      </c>
      <c r="B894" s="71" t="s">
        <v>2472</v>
      </c>
    </row>
    <row r="895">
      <c r="A895" s="72" t="s">
        <v>2473</v>
      </c>
      <c r="B895" s="72" t="s">
        <v>2057</v>
      </c>
    </row>
    <row r="896">
      <c r="A896" s="71" t="s">
        <v>2474</v>
      </c>
      <c r="B896" s="71" t="s">
        <v>1310</v>
      </c>
    </row>
    <row r="897">
      <c r="A897" s="72" t="s">
        <v>2475</v>
      </c>
      <c r="B897" s="72" t="s">
        <v>1123</v>
      </c>
    </row>
    <row r="898">
      <c r="A898" s="71" t="s">
        <v>2476</v>
      </c>
      <c r="B898" s="71" t="s">
        <v>2477</v>
      </c>
    </row>
    <row r="899">
      <c r="A899" s="72" t="s">
        <v>2478</v>
      </c>
      <c r="B899" s="72" t="s">
        <v>1725</v>
      </c>
    </row>
    <row r="900">
      <c r="A900" s="71" t="s">
        <v>2479</v>
      </c>
      <c r="B900" s="71" t="s">
        <v>1266</v>
      </c>
    </row>
    <row r="901">
      <c r="A901" s="72" t="s">
        <v>2480</v>
      </c>
      <c r="B901" s="72" t="s">
        <v>2481</v>
      </c>
    </row>
    <row r="902">
      <c r="A902" s="71" t="s">
        <v>2482</v>
      </c>
      <c r="B902" s="71" t="s">
        <v>1294</v>
      </c>
    </row>
    <row r="903">
      <c r="A903" s="72" t="s">
        <v>2483</v>
      </c>
      <c r="B903" s="72" t="s">
        <v>1146</v>
      </c>
    </row>
    <row r="904">
      <c r="A904" s="71" t="s">
        <v>2484</v>
      </c>
      <c r="B904" s="71" t="s">
        <v>2485</v>
      </c>
    </row>
    <row r="905">
      <c r="A905" s="72" t="s">
        <v>2486</v>
      </c>
      <c r="B905" s="72" t="s">
        <v>1260</v>
      </c>
    </row>
    <row r="906">
      <c r="A906" s="71" t="s">
        <v>2487</v>
      </c>
      <c r="B906" s="71" t="s">
        <v>2488</v>
      </c>
    </row>
    <row r="907">
      <c r="A907" s="72" t="s">
        <v>2489</v>
      </c>
      <c r="B907" s="72" t="s">
        <v>2490</v>
      </c>
    </row>
    <row r="908">
      <c r="A908" s="71" t="s">
        <v>2491</v>
      </c>
      <c r="B908" s="71" t="s">
        <v>1175</v>
      </c>
    </row>
    <row r="909">
      <c r="A909" s="72" t="s">
        <v>2492</v>
      </c>
      <c r="B909" s="72" t="s">
        <v>2493</v>
      </c>
    </row>
    <row r="910">
      <c r="A910" s="71" t="s">
        <v>2494</v>
      </c>
      <c r="B910" s="71" t="s">
        <v>1882</v>
      </c>
    </row>
    <row r="911">
      <c r="A911" s="72" t="s">
        <v>2495</v>
      </c>
      <c r="B911" s="72" t="s">
        <v>2496</v>
      </c>
    </row>
    <row r="912">
      <c r="A912" s="71" t="s">
        <v>2497</v>
      </c>
      <c r="B912" s="71" t="s">
        <v>1697</v>
      </c>
    </row>
    <row r="913">
      <c r="A913" s="72" t="s">
        <v>2498</v>
      </c>
      <c r="B913" s="72" t="s">
        <v>2499</v>
      </c>
    </row>
    <row r="914">
      <c r="A914" s="71" t="s">
        <v>2500</v>
      </c>
      <c r="B914" s="71" t="s">
        <v>1419</v>
      </c>
    </row>
    <row r="915">
      <c r="A915" s="72" t="s">
        <v>2501</v>
      </c>
      <c r="B915" s="72" t="s">
        <v>1119</v>
      </c>
    </row>
    <row r="916">
      <c r="A916" s="71" t="s">
        <v>2502</v>
      </c>
      <c r="B916" s="71" t="s">
        <v>2503</v>
      </c>
    </row>
    <row r="917">
      <c r="A917" s="72" t="s">
        <v>2504</v>
      </c>
      <c r="B917" s="72" t="s">
        <v>1351</v>
      </c>
    </row>
    <row r="918">
      <c r="A918" s="71" t="s">
        <v>2505</v>
      </c>
      <c r="B918" s="71" t="s">
        <v>2506</v>
      </c>
    </row>
    <row r="919">
      <c r="A919" s="72" t="s">
        <v>2507</v>
      </c>
      <c r="B919" s="72" t="s">
        <v>2508</v>
      </c>
    </row>
    <row r="920">
      <c r="A920" s="71" t="s">
        <v>2509</v>
      </c>
      <c r="B920" s="71" t="s">
        <v>1852</v>
      </c>
    </row>
    <row r="921">
      <c r="A921" s="72" t="s">
        <v>2510</v>
      </c>
      <c r="B921" s="72" t="s">
        <v>2043</v>
      </c>
    </row>
    <row r="922">
      <c r="A922" s="71" t="s">
        <v>2511</v>
      </c>
      <c r="B922" s="71" t="s">
        <v>2512</v>
      </c>
    </row>
    <row r="923">
      <c r="A923" s="72" t="s">
        <v>2513</v>
      </c>
      <c r="B923" s="72" t="s">
        <v>1590</v>
      </c>
    </row>
    <row r="924">
      <c r="A924" s="71" t="s">
        <v>2514</v>
      </c>
      <c r="B924" s="71" t="s">
        <v>2515</v>
      </c>
    </row>
    <row r="925">
      <c r="A925" s="72" t="s">
        <v>2516</v>
      </c>
      <c r="B925" s="72" t="s">
        <v>2385</v>
      </c>
    </row>
    <row r="926">
      <c r="A926" s="71" t="s">
        <v>2517</v>
      </c>
      <c r="B926" s="71" t="s">
        <v>2518</v>
      </c>
    </row>
    <row r="927">
      <c r="A927" s="72" t="s">
        <v>2519</v>
      </c>
      <c r="B927" s="72" t="s">
        <v>2520</v>
      </c>
    </row>
    <row r="928">
      <c r="A928" s="71" t="s">
        <v>2521</v>
      </c>
      <c r="B928" s="71" t="s">
        <v>1146</v>
      </c>
    </row>
    <row r="929">
      <c r="A929" s="72" t="s">
        <v>2522</v>
      </c>
      <c r="B929" s="72" t="s">
        <v>1775</v>
      </c>
    </row>
    <row r="930">
      <c r="A930" s="71" t="s">
        <v>2523</v>
      </c>
      <c r="B930" s="71" t="s">
        <v>2524</v>
      </c>
    </row>
    <row r="931">
      <c r="A931" s="72" t="s">
        <v>2525</v>
      </c>
      <c r="B931" s="72" t="s">
        <v>1580</v>
      </c>
    </row>
    <row r="932">
      <c r="A932" s="71" t="s">
        <v>2526</v>
      </c>
      <c r="B932" s="71" t="s">
        <v>1402</v>
      </c>
    </row>
    <row r="933">
      <c r="A933" s="72" t="s">
        <v>2527</v>
      </c>
      <c r="B933" s="72" t="s">
        <v>2528</v>
      </c>
    </row>
    <row r="934">
      <c r="A934" s="71" t="s">
        <v>2529</v>
      </c>
      <c r="B934" s="71" t="s">
        <v>1816</v>
      </c>
    </row>
    <row r="935">
      <c r="A935" s="72" t="s">
        <v>2530</v>
      </c>
      <c r="B935" s="72" t="s">
        <v>1330</v>
      </c>
    </row>
    <row r="936">
      <c r="A936" s="71" t="s">
        <v>2531</v>
      </c>
      <c r="B936" s="71" t="s">
        <v>1138</v>
      </c>
    </row>
    <row r="937">
      <c r="A937" s="72" t="s">
        <v>2532</v>
      </c>
      <c r="B937" s="72" t="s">
        <v>2533</v>
      </c>
    </row>
    <row r="938">
      <c r="A938" s="71" t="s">
        <v>2534</v>
      </c>
      <c r="B938" s="71" t="s">
        <v>1274</v>
      </c>
    </row>
    <row r="939">
      <c r="A939" s="72" t="s">
        <v>2535</v>
      </c>
      <c r="B939" s="72" t="s">
        <v>2536</v>
      </c>
    </row>
    <row r="940">
      <c r="A940" s="71" t="s">
        <v>2537</v>
      </c>
      <c r="B940" s="71" t="s">
        <v>2159</v>
      </c>
    </row>
    <row r="941">
      <c r="A941" s="72" t="s">
        <v>2538</v>
      </c>
      <c r="B941" s="72" t="s">
        <v>1280</v>
      </c>
    </row>
    <row r="942">
      <c r="A942" s="71" t="s">
        <v>2539</v>
      </c>
      <c r="B942" s="71" t="s">
        <v>2540</v>
      </c>
    </row>
    <row r="943">
      <c r="A943" s="72" t="s">
        <v>2541</v>
      </c>
      <c r="B943" s="72" t="s">
        <v>2043</v>
      </c>
    </row>
    <row r="944">
      <c r="A944" s="71" t="s">
        <v>2542</v>
      </c>
      <c r="B944" s="71" t="s">
        <v>1455</v>
      </c>
    </row>
    <row r="945">
      <c r="A945" s="72" t="s">
        <v>2543</v>
      </c>
      <c r="B945" s="72" t="s">
        <v>2544</v>
      </c>
    </row>
    <row r="946">
      <c r="A946" s="71" t="s">
        <v>2545</v>
      </c>
      <c r="B946" s="71" t="s">
        <v>1130</v>
      </c>
    </row>
    <row r="947">
      <c r="A947" s="72" t="s">
        <v>2546</v>
      </c>
      <c r="B947" s="72" t="s">
        <v>2547</v>
      </c>
    </row>
    <row r="948">
      <c r="A948" s="71" t="s">
        <v>2548</v>
      </c>
      <c r="B948" s="71" t="s">
        <v>1493</v>
      </c>
    </row>
    <row r="949">
      <c r="A949" s="72" t="s">
        <v>2549</v>
      </c>
      <c r="B949" s="72" t="s">
        <v>1132</v>
      </c>
    </row>
    <row r="950">
      <c r="A950" s="71" t="s">
        <v>2550</v>
      </c>
      <c r="B950" s="71" t="s">
        <v>2551</v>
      </c>
    </row>
    <row r="951">
      <c r="A951" s="72" t="s">
        <v>2552</v>
      </c>
      <c r="B951" s="72" t="s">
        <v>2553</v>
      </c>
    </row>
    <row r="952">
      <c r="A952" s="71" t="s">
        <v>2554</v>
      </c>
      <c r="B952" s="71" t="s">
        <v>1677</v>
      </c>
    </row>
    <row r="953">
      <c r="A953" s="72" t="s">
        <v>2555</v>
      </c>
      <c r="B953" s="72" t="s">
        <v>1567</v>
      </c>
    </row>
    <row r="954">
      <c r="A954" s="71" t="s">
        <v>2556</v>
      </c>
      <c r="B954" s="71" t="s">
        <v>1343</v>
      </c>
    </row>
    <row r="955">
      <c r="A955" s="72" t="s">
        <v>2557</v>
      </c>
      <c r="B955" s="72" t="s">
        <v>1199</v>
      </c>
    </row>
    <row r="956">
      <c r="A956" s="71" t="s">
        <v>2558</v>
      </c>
      <c r="B956" s="71" t="s">
        <v>1697</v>
      </c>
    </row>
    <row r="957">
      <c r="A957" s="72" t="s">
        <v>2559</v>
      </c>
      <c r="B957" s="72" t="s">
        <v>2560</v>
      </c>
    </row>
    <row r="958">
      <c r="A958" s="71" t="s">
        <v>2561</v>
      </c>
      <c r="B958" s="71" t="s">
        <v>1708</v>
      </c>
    </row>
    <row r="959">
      <c r="A959" s="72" t="s">
        <v>2562</v>
      </c>
      <c r="B959" s="72" t="s">
        <v>1308</v>
      </c>
    </row>
    <row r="960">
      <c r="A960" s="71" t="s">
        <v>2563</v>
      </c>
      <c r="B960" s="71" t="s">
        <v>1875</v>
      </c>
    </row>
    <row r="961">
      <c r="A961" s="72" t="s">
        <v>2564</v>
      </c>
      <c r="B961" s="72" t="s">
        <v>2565</v>
      </c>
    </row>
    <row r="962">
      <c r="A962" s="71" t="s">
        <v>2566</v>
      </c>
      <c r="B962" s="71" t="s">
        <v>2567</v>
      </c>
    </row>
    <row r="963">
      <c r="A963" s="72" t="s">
        <v>2568</v>
      </c>
      <c r="B963" s="72" t="s">
        <v>1284</v>
      </c>
    </row>
    <row r="964">
      <c r="A964" s="71" t="s">
        <v>2569</v>
      </c>
      <c r="B964" s="71" t="s">
        <v>1442</v>
      </c>
    </row>
    <row r="965">
      <c r="A965" s="72" t="s">
        <v>2570</v>
      </c>
      <c r="B965" s="72" t="s">
        <v>2571</v>
      </c>
    </row>
    <row r="966">
      <c r="A966" s="71" t="s">
        <v>2572</v>
      </c>
      <c r="B966" s="71" t="s">
        <v>2573</v>
      </c>
    </row>
    <row r="967">
      <c r="A967" s="72" t="s">
        <v>2574</v>
      </c>
      <c r="B967" s="72" t="s">
        <v>2332</v>
      </c>
    </row>
    <row r="968">
      <c r="A968" s="71" t="s">
        <v>2575</v>
      </c>
      <c r="B968" s="71" t="s">
        <v>2576</v>
      </c>
    </row>
    <row r="969">
      <c r="A969" s="72" t="s">
        <v>2577</v>
      </c>
      <c r="B969" s="72" t="s">
        <v>1822</v>
      </c>
    </row>
    <row r="970">
      <c r="A970" s="71" t="s">
        <v>2578</v>
      </c>
      <c r="B970" s="71" t="s">
        <v>2579</v>
      </c>
    </row>
    <row r="971">
      <c r="A971" s="72" t="s">
        <v>2580</v>
      </c>
      <c r="B971" s="72" t="s">
        <v>1128</v>
      </c>
    </row>
    <row r="972">
      <c r="A972" s="71" t="s">
        <v>2581</v>
      </c>
      <c r="B972" s="71" t="s">
        <v>1493</v>
      </c>
    </row>
    <row r="973">
      <c r="A973" s="72" t="s">
        <v>2582</v>
      </c>
      <c r="B973" s="72" t="s">
        <v>1156</v>
      </c>
    </row>
    <row r="974">
      <c r="A974" s="71" t="s">
        <v>2583</v>
      </c>
      <c r="B974" s="71" t="s">
        <v>1946</v>
      </c>
    </row>
    <row r="975">
      <c r="A975" s="72" t="s">
        <v>2584</v>
      </c>
      <c r="B975" s="72" t="s">
        <v>2585</v>
      </c>
    </row>
    <row r="976">
      <c r="A976" s="71" t="s">
        <v>2586</v>
      </c>
      <c r="B976" s="71" t="s">
        <v>2587</v>
      </c>
    </row>
    <row r="977">
      <c r="A977" s="72" t="s">
        <v>2588</v>
      </c>
      <c r="B977" s="72" t="s">
        <v>2589</v>
      </c>
    </row>
    <row r="978">
      <c r="A978" s="71" t="s">
        <v>2590</v>
      </c>
      <c r="B978" s="71" t="s">
        <v>1328</v>
      </c>
    </row>
    <row r="979">
      <c r="A979" s="72" t="s">
        <v>2591</v>
      </c>
      <c r="B979" s="72" t="s">
        <v>2592</v>
      </c>
    </row>
    <row r="980">
      <c r="A980" s="71" t="s">
        <v>2593</v>
      </c>
      <c r="B980" s="71" t="s">
        <v>2594</v>
      </c>
    </row>
    <row r="981">
      <c r="A981" s="72" t="s">
        <v>2595</v>
      </c>
      <c r="B981" s="72" t="s">
        <v>2596</v>
      </c>
    </row>
    <row r="982">
      <c r="A982" s="71" t="s">
        <v>2597</v>
      </c>
      <c r="B982" s="71" t="s">
        <v>2598</v>
      </c>
    </row>
    <row r="983">
      <c r="A983" s="72" t="s">
        <v>2599</v>
      </c>
      <c r="B983" s="72" t="s">
        <v>1386</v>
      </c>
    </row>
    <row r="984">
      <c r="A984" s="71" t="s">
        <v>2600</v>
      </c>
      <c r="B984" s="71" t="s">
        <v>2601</v>
      </c>
    </row>
    <row r="985">
      <c r="A985" s="72" t="s">
        <v>2602</v>
      </c>
      <c r="B985" s="72" t="s">
        <v>2603</v>
      </c>
    </row>
    <row r="986">
      <c r="A986" s="71" t="s">
        <v>2604</v>
      </c>
      <c r="B986" s="71" t="s">
        <v>2605</v>
      </c>
    </row>
    <row r="987">
      <c r="A987" s="72" t="s">
        <v>2606</v>
      </c>
      <c r="B987" s="72" t="s">
        <v>1238</v>
      </c>
    </row>
    <row r="988">
      <c r="A988" s="71" t="s">
        <v>2607</v>
      </c>
      <c r="B988" s="71" t="s">
        <v>1419</v>
      </c>
    </row>
    <row r="989">
      <c r="A989" s="72" t="s">
        <v>2608</v>
      </c>
      <c r="B989" s="72" t="s">
        <v>2609</v>
      </c>
    </row>
    <row r="990">
      <c r="A990" s="71" t="s">
        <v>2610</v>
      </c>
      <c r="B990" s="71" t="s">
        <v>2611</v>
      </c>
    </row>
    <row r="991">
      <c r="A991" s="72" t="s">
        <v>2612</v>
      </c>
      <c r="B991" s="72" t="s">
        <v>1343</v>
      </c>
    </row>
    <row r="992">
      <c r="A992" s="71" t="s">
        <v>2613</v>
      </c>
      <c r="B992" s="71" t="s">
        <v>1688</v>
      </c>
    </row>
    <row r="993">
      <c r="A993" s="72" t="s">
        <v>2614</v>
      </c>
      <c r="B993" s="72" t="s">
        <v>2615</v>
      </c>
    </row>
    <row r="994">
      <c r="A994" s="71" t="s">
        <v>2616</v>
      </c>
      <c r="B994" s="71" t="s">
        <v>2617</v>
      </c>
    </row>
    <row r="995">
      <c r="A995" s="72" t="s">
        <v>2618</v>
      </c>
      <c r="B995" s="72" t="s">
        <v>1282</v>
      </c>
    </row>
    <row r="996">
      <c r="A996" s="71" t="s">
        <v>2619</v>
      </c>
      <c r="B996" s="71" t="s">
        <v>1197</v>
      </c>
    </row>
    <row r="997">
      <c r="A997" s="72" t="s">
        <v>2620</v>
      </c>
      <c r="B997" s="72" t="s">
        <v>2127</v>
      </c>
    </row>
    <row r="998">
      <c r="A998" s="71" t="s">
        <v>2621</v>
      </c>
      <c r="B998" s="71" t="s">
        <v>1960</v>
      </c>
    </row>
    <row r="999">
      <c r="A999" s="72" t="s">
        <v>2622</v>
      </c>
      <c r="B999" s="72" t="s">
        <v>1142</v>
      </c>
    </row>
    <row r="1000">
      <c r="A1000" s="71" t="s">
        <v>2623</v>
      </c>
      <c r="B1000" s="71" t="s">
        <v>2624</v>
      </c>
    </row>
    <row r="1001">
      <c r="A1001" s="72" t="s">
        <v>2625</v>
      </c>
      <c r="B1001" s="72" t="s">
        <v>2626</v>
      </c>
    </row>
    <row r="1002">
      <c r="A1002" s="71" t="s">
        <v>2627</v>
      </c>
      <c r="B1002" s="71" t="s">
        <v>2354</v>
      </c>
    </row>
    <row r="1003">
      <c r="A1003" s="72" t="s">
        <v>2628</v>
      </c>
      <c r="B1003" s="72" t="s">
        <v>2629</v>
      </c>
    </row>
    <row r="1004">
      <c r="A1004" s="71" t="s">
        <v>2630</v>
      </c>
      <c r="B1004" s="71" t="s">
        <v>2631</v>
      </c>
    </row>
    <row r="1005">
      <c r="A1005" s="72" t="s">
        <v>2632</v>
      </c>
      <c r="B1005" s="72" t="s">
        <v>1764</v>
      </c>
    </row>
    <row r="1006">
      <c r="A1006" s="71" t="s">
        <v>2633</v>
      </c>
      <c r="B1006" s="71" t="s">
        <v>2634</v>
      </c>
    </row>
    <row r="1007">
      <c r="A1007" s="72" t="s">
        <v>2635</v>
      </c>
      <c r="B1007" s="72" t="s">
        <v>2636</v>
      </c>
    </row>
    <row r="1008">
      <c r="A1008" s="71" t="s">
        <v>2637</v>
      </c>
      <c r="B1008" s="71" t="s">
        <v>2638</v>
      </c>
    </row>
    <row r="1009">
      <c r="A1009" s="72" t="s">
        <v>2639</v>
      </c>
      <c r="B1009" s="72" t="s">
        <v>2640</v>
      </c>
    </row>
    <row r="1010">
      <c r="A1010" s="71" t="s">
        <v>2641</v>
      </c>
      <c r="B1010" s="71" t="s">
        <v>1286</v>
      </c>
    </row>
    <row r="1011">
      <c r="A1011" s="72" t="s">
        <v>2642</v>
      </c>
      <c r="B1011" s="72" t="s">
        <v>2643</v>
      </c>
    </row>
    <row r="1012">
      <c r="A1012" s="71" t="s">
        <v>2644</v>
      </c>
      <c r="B1012" s="71" t="s">
        <v>1187</v>
      </c>
    </row>
    <row r="1013">
      <c r="A1013" s="72" t="s">
        <v>2645</v>
      </c>
      <c r="B1013" s="72" t="s">
        <v>1310</v>
      </c>
    </row>
    <row r="1014">
      <c r="A1014" s="71" t="s">
        <v>2646</v>
      </c>
      <c r="B1014" s="71" t="s">
        <v>1641</v>
      </c>
    </row>
    <row r="1015">
      <c r="A1015" s="72" t="s">
        <v>2647</v>
      </c>
      <c r="B1015" s="72" t="s">
        <v>2648</v>
      </c>
    </row>
    <row r="1016">
      <c r="A1016" s="71" t="s">
        <v>2649</v>
      </c>
      <c r="B1016" s="71" t="s">
        <v>2650</v>
      </c>
    </row>
    <row r="1017">
      <c r="A1017" s="72" t="s">
        <v>2651</v>
      </c>
      <c r="B1017" s="72" t="s">
        <v>2652</v>
      </c>
    </row>
    <row r="1018">
      <c r="A1018" s="71" t="s">
        <v>2653</v>
      </c>
      <c r="B1018" s="71" t="s">
        <v>2654</v>
      </c>
    </row>
    <row r="1019">
      <c r="A1019" s="72" t="s">
        <v>2655</v>
      </c>
      <c r="B1019" s="72" t="s">
        <v>1119</v>
      </c>
    </row>
    <row r="1020">
      <c r="A1020" s="71" t="s">
        <v>2656</v>
      </c>
      <c r="B1020" s="71" t="s">
        <v>2657</v>
      </c>
    </row>
    <row r="1021">
      <c r="A1021" s="72" t="s">
        <v>2658</v>
      </c>
      <c r="B1021" s="72" t="s">
        <v>1840</v>
      </c>
    </row>
    <row r="1022">
      <c r="A1022" s="71" t="s">
        <v>2659</v>
      </c>
      <c r="B1022" s="71" t="s">
        <v>2043</v>
      </c>
    </row>
    <row r="1023">
      <c r="A1023" s="72" t="s">
        <v>2660</v>
      </c>
      <c r="B1023" s="72" t="s">
        <v>2661</v>
      </c>
    </row>
    <row r="1024">
      <c r="A1024" s="71" t="s">
        <v>2662</v>
      </c>
      <c r="B1024" s="71" t="s">
        <v>2663</v>
      </c>
    </row>
    <row r="1025">
      <c r="A1025" s="72" t="s">
        <v>2664</v>
      </c>
      <c r="B1025" s="72" t="s">
        <v>1464</v>
      </c>
    </row>
    <row r="1026">
      <c r="A1026" s="71" t="s">
        <v>2665</v>
      </c>
      <c r="B1026" s="71" t="s">
        <v>2666</v>
      </c>
    </row>
    <row r="1027">
      <c r="A1027" s="72" t="s">
        <v>2667</v>
      </c>
      <c r="B1027" s="72" t="s">
        <v>1522</v>
      </c>
    </row>
    <row r="1028">
      <c r="A1028" s="71" t="s">
        <v>2668</v>
      </c>
      <c r="B1028" s="71" t="s">
        <v>1419</v>
      </c>
    </row>
    <row r="1029">
      <c r="A1029" s="72" t="s">
        <v>2669</v>
      </c>
      <c r="B1029" s="72" t="s">
        <v>1113</v>
      </c>
    </row>
    <row r="1030">
      <c r="A1030" s="71" t="s">
        <v>2670</v>
      </c>
      <c r="B1030" s="71" t="s">
        <v>1929</v>
      </c>
    </row>
    <row r="1031">
      <c r="A1031" s="72" t="s">
        <v>2671</v>
      </c>
      <c r="B1031" s="72" t="s">
        <v>2672</v>
      </c>
    </row>
    <row r="1032">
      <c r="A1032" s="71" t="s">
        <v>2673</v>
      </c>
      <c r="B1032" s="71" t="s">
        <v>2674</v>
      </c>
    </row>
    <row r="1033">
      <c r="A1033" s="72" t="s">
        <v>2675</v>
      </c>
      <c r="B1033" s="72" t="s">
        <v>1382</v>
      </c>
    </row>
    <row r="1034">
      <c r="A1034" s="71" t="s">
        <v>2676</v>
      </c>
      <c r="B1034" s="71" t="s">
        <v>2677</v>
      </c>
    </row>
    <row r="1035">
      <c r="A1035" s="72" t="s">
        <v>2678</v>
      </c>
      <c r="B1035" s="72" t="s">
        <v>2679</v>
      </c>
    </row>
    <row r="1036">
      <c r="A1036" s="71" t="s">
        <v>2680</v>
      </c>
      <c r="B1036" s="71" t="s">
        <v>1119</v>
      </c>
    </row>
    <row r="1037">
      <c r="A1037" s="72" t="s">
        <v>2681</v>
      </c>
      <c r="B1037" s="72" t="s">
        <v>2682</v>
      </c>
    </row>
    <row r="1038">
      <c r="A1038" s="71" t="s">
        <v>2683</v>
      </c>
      <c r="B1038" s="71" t="s">
        <v>1351</v>
      </c>
    </row>
    <row r="1039">
      <c r="A1039" s="72" t="s">
        <v>2684</v>
      </c>
      <c r="B1039" s="72" t="s">
        <v>2685</v>
      </c>
    </row>
    <row r="1040">
      <c r="A1040" s="71" t="s">
        <v>2686</v>
      </c>
      <c r="B1040" s="71" t="s">
        <v>2687</v>
      </c>
    </row>
    <row r="1041">
      <c r="A1041" s="72" t="s">
        <v>2688</v>
      </c>
      <c r="B1041" s="72" t="s">
        <v>1775</v>
      </c>
    </row>
    <row r="1042">
      <c r="A1042" s="71" t="s">
        <v>2689</v>
      </c>
      <c r="B1042" s="71" t="s">
        <v>2690</v>
      </c>
    </row>
    <row r="1043">
      <c r="A1043" s="72" t="s">
        <v>2691</v>
      </c>
      <c r="B1043" s="72" t="s">
        <v>2692</v>
      </c>
    </row>
    <row r="1044">
      <c r="A1044" s="71" t="s">
        <v>2693</v>
      </c>
      <c r="B1044" s="71" t="s">
        <v>1169</v>
      </c>
    </row>
    <row r="1045">
      <c r="A1045" s="72" t="s">
        <v>2694</v>
      </c>
      <c r="B1045" s="72" t="s">
        <v>2695</v>
      </c>
    </row>
    <row r="1046">
      <c r="A1046" s="71" t="s">
        <v>2696</v>
      </c>
      <c r="B1046" s="71" t="s">
        <v>2697</v>
      </c>
    </row>
    <row r="1047">
      <c r="A1047" s="72" t="s">
        <v>2698</v>
      </c>
      <c r="B1047" s="72" t="s">
        <v>1304</v>
      </c>
    </row>
    <row r="1048">
      <c r="A1048" s="71" t="s">
        <v>2699</v>
      </c>
      <c r="B1048" s="71" t="s">
        <v>1254</v>
      </c>
    </row>
    <row r="1049">
      <c r="A1049" s="72" t="s">
        <v>2700</v>
      </c>
      <c r="B1049" s="72" t="s">
        <v>2701</v>
      </c>
    </row>
    <row r="1050">
      <c r="A1050" s="71" t="s">
        <v>2702</v>
      </c>
      <c r="B1050" s="71" t="s">
        <v>1733</v>
      </c>
    </row>
    <row r="1051">
      <c r="A1051" s="72" t="s">
        <v>2703</v>
      </c>
      <c r="B1051" s="72" t="s">
        <v>1159</v>
      </c>
    </row>
    <row r="1052">
      <c r="A1052" s="71" t="s">
        <v>2704</v>
      </c>
      <c r="B1052" s="71" t="s">
        <v>2705</v>
      </c>
    </row>
    <row r="1053">
      <c r="A1053" s="72" t="s">
        <v>2706</v>
      </c>
      <c r="B1053" s="72" t="s">
        <v>1156</v>
      </c>
    </row>
    <row r="1054">
      <c r="A1054" s="71" t="s">
        <v>2707</v>
      </c>
      <c r="B1054" s="71" t="s">
        <v>1187</v>
      </c>
    </row>
    <row r="1055">
      <c r="A1055" s="72" t="s">
        <v>2708</v>
      </c>
      <c r="B1055" s="72" t="s">
        <v>2709</v>
      </c>
    </row>
    <row r="1056">
      <c r="A1056" s="71" t="s">
        <v>2710</v>
      </c>
      <c r="B1056" s="71" t="s">
        <v>2711</v>
      </c>
    </row>
    <row r="1057">
      <c r="A1057" s="72" t="s">
        <v>2712</v>
      </c>
      <c r="B1057" s="72" t="s">
        <v>2713</v>
      </c>
    </row>
    <row r="1058">
      <c r="A1058" s="71" t="s">
        <v>2714</v>
      </c>
      <c r="B1058" s="71" t="s">
        <v>1250</v>
      </c>
    </row>
    <row r="1059">
      <c r="A1059" s="72" t="s">
        <v>2715</v>
      </c>
      <c r="B1059" s="72" t="s">
        <v>1962</v>
      </c>
    </row>
    <row r="1060">
      <c r="A1060" s="71" t="s">
        <v>2716</v>
      </c>
      <c r="B1060" s="71" t="s">
        <v>2717</v>
      </c>
    </row>
    <row r="1061">
      <c r="A1061" s="72" t="s">
        <v>2718</v>
      </c>
      <c r="B1061" s="72" t="s">
        <v>2719</v>
      </c>
    </row>
    <row r="1062">
      <c r="A1062" s="71" t="s">
        <v>2720</v>
      </c>
      <c r="B1062" s="71" t="s">
        <v>2330</v>
      </c>
    </row>
    <row r="1063">
      <c r="A1063" s="72" t="s">
        <v>2721</v>
      </c>
      <c r="B1063" s="72" t="s">
        <v>2722</v>
      </c>
    </row>
    <row r="1064">
      <c r="A1064" s="71" t="s">
        <v>2723</v>
      </c>
      <c r="B1064" s="71" t="s">
        <v>2724</v>
      </c>
    </row>
    <row r="1065">
      <c r="A1065" s="72" t="s">
        <v>2725</v>
      </c>
      <c r="B1065" s="72" t="s">
        <v>2726</v>
      </c>
    </row>
    <row r="1066">
      <c r="A1066" s="71" t="s">
        <v>2727</v>
      </c>
      <c r="B1066" s="71" t="s">
        <v>2728</v>
      </c>
    </row>
    <row r="1067">
      <c r="A1067" s="72" t="s">
        <v>2729</v>
      </c>
      <c r="B1067" s="72" t="s">
        <v>1169</v>
      </c>
    </row>
    <row r="1068">
      <c r="A1068" s="71" t="s">
        <v>2730</v>
      </c>
      <c r="B1068" s="71" t="s">
        <v>1590</v>
      </c>
    </row>
    <row r="1069">
      <c r="A1069" s="72" t="s">
        <v>2731</v>
      </c>
      <c r="B1069" s="72" t="s">
        <v>1805</v>
      </c>
    </row>
    <row r="1070">
      <c r="A1070" s="71" t="s">
        <v>2732</v>
      </c>
      <c r="B1070" s="71" t="s">
        <v>1442</v>
      </c>
    </row>
    <row r="1071">
      <c r="A1071" s="72" t="s">
        <v>2733</v>
      </c>
      <c r="B1071" s="72" t="s">
        <v>1167</v>
      </c>
    </row>
    <row r="1072">
      <c r="A1072" s="71" t="s">
        <v>2734</v>
      </c>
      <c r="B1072" s="71" t="s">
        <v>2735</v>
      </c>
    </row>
    <row r="1073">
      <c r="A1073" s="72" t="s">
        <v>2736</v>
      </c>
      <c r="B1073" s="72" t="s">
        <v>2737</v>
      </c>
    </row>
    <row r="1074">
      <c r="A1074" s="71" t="s">
        <v>2738</v>
      </c>
      <c r="B1074" s="71" t="s">
        <v>1330</v>
      </c>
    </row>
    <row r="1075">
      <c r="A1075" s="72" t="s">
        <v>2739</v>
      </c>
      <c r="B1075" s="72" t="s">
        <v>2740</v>
      </c>
    </row>
    <row r="1076">
      <c r="A1076" s="71" t="s">
        <v>2741</v>
      </c>
      <c r="B1076" s="71" t="s">
        <v>2742</v>
      </c>
    </row>
    <row r="1077">
      <c r="A1077" s="72" t="s">
        <v>2743</v>
      </c>
      <c r="B1077" s="72" t="s">
        <v>1179</v>
      </c>
    </row>
    <row r="1078">
      <c r="A1078" s="71" t="s">
        <v>2744</v>
      </c>
      <c r="B1078" s="71" t="s">
        <v>1840</v>
      </c>
    </row>
    <row r="1079">
      <c r="A1079" s="72" t="s">
        <v>2745</v>
      </c>
      <c r="B1079" s="72" t="s">
        <v>1247</v>
      </c>
    </row>
    <row r="1080">
      <c r="A1080" s="71" t="s">
        <v>2746</v>
      </c>
      <c r="B1080" s="71" t="s">
        <v>2747</v>
      </c>
    </row>
    <row r="1081">
      <c r="A1081" s="72" t="s">
        <v>2748</v>
      </c>
      <c r="B1081" s="72" t="s">
        <v>1310</v>
      </c>
    </row>
    <row r="1082">
      <c r="A1082" s="71" t="s">
        <v>2749</v>
      </c>
      <c r="B1082" s="71" t="s">
        <v>1146</v>
      </c>
    </row>
    <row r="1083">
      <c r="A1083" s="72" t="s">
        <v>2750</v>
      </c>
      <c r="B1083" s="72" t="s">
        <v>2751</v>
      </c>
    </row>
    <row r="1084">
      <c r="A1084" s="71" t="s">
        <v>2752</v>
      </c>
      <c r="B1084" s="71" t="s">
        <v>2753</v>
      </c>
    </row>
    <row r="1085">
      <c r="A1085" s="72" t="s">
        <v>2754</v>
      </c>
      <c r="B1085" s="72" t="s">
        <v>1203</v>
      </c>
    </row>
    <row r="1086">
      <c r="A1086" s="71" t="s">
        <v>2755</v>
      </c>
      <c r="B1086" s="71" t="s">
        <v>2756</v>
      </c>
    </row>
    <row r="1087">
      <c r="A1087" s="72" t="s">
        <v>2757</v>
      </c>
      <c r="B1087" s="72" t="s">
        <v>1181</v>
      </c>
    </row>
    <row r="1088">
      <c r="A1088" s="71" t="s">
        <v>2758</v>
      </c>
      <c r="B1088" s="71" t="s">
        <v>2304</v>
      </c>
    </row>
    <row r="1089">
      <c r="A1089" s="72" t="s">
        <v>2759</v>
      </c>
      <c r="B1089" s="72" t="s">
        <v>2760</v>
      </c>
    </row>
    <row r="1090">
      <c r="A1090" s="71" t="s">
        <v>2761</v>
      </c>
      <c r="B1090" s="71" t="s">
        <v>1714</v>
      </c>
    </row>
    <row r="1091">
      <c r="A1091" s="72" t="s">
        <v>2762</v>
      </c>
      <c r="B1091" s="72" t="s">
        <v>2763</v>
      </c>
    </row>
    <row r="1092">
      <c r="A1092" s="71" t="s">
        <v>2764</v>
      </c>
      <c r="B1092" s="71" t="s">
        <v>2219</v>
      </c>
    </row>
    <row r="1093">
      <c r="A1093" s="72" t="s">
        <v>2765</v>
      </c>
      <c r="B1093" s="72" t="s">
        <v>1955</v>
      </c>
    </row>
    <row r="1094">
      <c r="A1094" s="71" t="s">
        <v>2766</v>
      </c>
      <c r="B1094" s="71" t="s">
        <v>2043</v>
      </c>
    </row>
    <row r="1095">
      <c r="A1095" s="72" t="s">
        <v>2767</v>
      </c>
      <c r="B1095" s="72" t="s">
        <v>2768</v>
      </c>
    </row>
    <row r="1096">
      <c r="A1096" s="71" t="s">
        <v>2769</v>
      </c>
      <c r="B1096" s="71" t="s">
        <v>1955</v>
      </c>
    </row>
    <row r="1097">
      <c r="A1097" s="72" t="s">
        <v>2770</v>
      </c>
      <c r="B1097" s="72" t="s">
        <v>1254</v>
      </c>
    </row>
    <row r="1098">
      <c r="A1098" s="71" t="s">
        <v>2771</v>
      </c>
      <c r="B1098" s="71" t="s">
        <v>1328</v>
      </c>
    </row>
    <row r="1099">
      <c r="A1099" s="72" t="s">
        <v>2772</v>
      </c>
      <c r="B1099" s="72" t="s">
        <v>1343</v>
      </c>
    </row>
    <row r="1100">
      <c r="A1100" s="71" t="s">
        <v>2773</v>
      </c>
      <c r="B1100" s="71" t="s">
        <v>1187</v>
      </c>
    </row>
    <row r="1101">
      <c r="A1101" s="72" t="s">
        <v>2774</v>
      </c>
      <c r="B1101" s="72" t="s">
        <v>1400</v>
      </c>
    </row>
    <row r="1102">
      <c r="A1102" s="71" t="s">
        <v>2775</v>
      </c>
      <c r="B1102" s="71" t="s">
        <v>1955</v>
      </c>
    </row>
    <row r="1103">
      <c r="A1103" s="72" t="s">
        <v>2776</v>
      </c>
      <c r="B1103" s="72" t="s">
        <v>1312</v>
      </c>
    </row>
    <row r="1104">
      <c r="A1104" s="71" t="s">
        <v>2777</v>
      </c>
      <c r="B1104" s="71" t="s">
        <v>1955</v>
      </c>
    </row>
    <row r="1105">
      <c r="A1105" s="72" t="s">
        <v>2778</v>
      </c>
      <c r="B1105" s="72" t="s">
        <v>1349</v>
      </c>
    </row>
    <row r="1106">
      <c r="A1106" s="71" t="s">
        <v>2779</v>
      </c>
      <c r="B1106" s="71" t="s">
        <v>2567</v>
      </c>
    </row>
    <row r="1107">
      <c r="A1107" s="72" t="s">
        <v>2780</v>
      </c>
      <c r="B1107" s="72" t="s">
        <v>2412</v>
      </c>
    </row>
    <row r="1108">
      <c r="A1108" s="71" t="s">
        <v>2781</v>
      </c>
      <c r="B1108" s="71" t="s">
        <v>1254</v>
      </c>
    </row>
    <row r="1109">
      <c r="A1109" s="72" t="s">
        <v>2782</v>
      </c>
      <c r="B1109" s="72" t="s">
        <v>1207</v>
      </c>
    </row>
    <row r="1110">
      <c r="A1110" s="71" t="s">
        <v>2783</v>
      </c>
      <c r="B1110" s="71" t="s">
        <v>2092</v>
      </c>
    </row>
    <row r="1111">
      <c r="A1111" s="72" t="s">
        <v>2784</v>
      </c>
      <c r="B1111" s="72" t="s">
        <v>1419</v>
      </c>
    </row>
    <row r="1112">
      <c r="A1112" s="71" t="s">
        <v>2785</v>
      </c>
      <c r="B1112" s="71" t="s">
        <v>2786</v>
      </c>
    </row>
    <row r="1113">
      <c r="A1113" s="72" t="s">
        <v>2787</v>
      </c>
      <c r="B1113" s="72" t="s">
        <v>2788</v>
      </c>
    </row>
    <row r="1114">
      <c r="A1114" s="71" t="s">
        <v>2789</v>
      </c>
      <c r="B1114" s="71" t="s">
        <v>1471</v>
      </c>
    </row>
    <row r="1115">
      <c r="A1115" s="72" t="s">
        <v>2790</v>
      </c>
      <c r="B1115" s="72" t="s">
        <v>1199</v>
      </c>
    </row>
    <row r="1116">
      <c r="A1116" s="71" t="s">
        <v>2791</v>
      </c>
      <c r="B1116" s="71" t="s">
        <v>1205</v>
      </c>
    </row>
    <row r="1117">
      <c r="A1117" s="72" t="s">
        <v>2792</v>
      </c>
      <c r="B1117" s="72" t="s">
        <v>2793</v>
      </c>
    </row>
    <row r="1118">
      <c r="A1118" s="71" t="s">
        <v>2794</v>
      </c>
      <c r="B1118" s="71" t="s">
        <v>2795</v>
      </c>
    </row>
    <row r="1119">
      <c r="A1119" s="72" t="s">
        <v>2796</v>
      </c>
      <c r="B1119" s="72" t="s">
        <v>1290</v>
      </c>
    </row>
    <row r="1120">
      <c r="A1120" s="71" t="s">
        <v>2797</v>
      </c>
      <c r="B1120" s="71" t="s">
        <v>2798</v>
      </c>
    </row>
    <row r="1121">
      <c r="A1121" s="72" t="s">
        <v>2799</v>
      </c>
      <c r="B1121" s="72" t="s">
        <v>1725</v>
      </c>
    </row>
    <row r="1122">
      <c r="A1122" s="71" t="s">
        <v>2800</v>
      </c>
      <c r="B1122" s="71" t="s">
        <v>2801</v>
      </c>
    </row>
    <row r="1123">
      <c r="A1123" s="72" t="s">
        <v>2802</v>
      </c>
      <c r="B1123" s="72" t="s">
        <v>1442</v>
      </c>
    </row>
    <row r="1124">
      <c r="A1124" s="71" t="s">
        <v>2803</v>
      </c>
      <c r="B1124" s="71" t="s">
        <v>1717</v>
      </c>
    </row>
    <row r="1125">
      <c r="A1125" s="72" t="s">
        <v>2804</v>
      </c>
      <c r="B1125" s="72" t="s">
        <v>1128</v>
      </c>
    </row>
    <row r="1126">
      <c r="A1126" s="71" t="s">
        <v>2805</v>
      </c>
      <c r="B1126" s="71" t="s">
        <v>1714</v>
      </c>
    </row>
    <row r="1127">
      <c r="A1127" s="72" t="s">
        <v>2806</v>
      </c>
      <c r="B1127" s="72" t="s">
        <v>2168</v>
      </c>
    </row>
    <row r="1128">
      <c r="A1128" s="71" t="s">
        <v>2807</v>
      </c>
      <c r="B1128" s="71" t="s">
        <v>2808</v>
      </c>
    </row>
    <row r="1129">
      <c r="A1129" s="72" t="s">
        <v>2809</v>
      </c>
      <c r="B1129" s="72" t="s">
        <v>1187</v>
      </c>
    </row>
    <row r="1130">
      <c r="A1130" s="71" t="s">
        <v>2810</v>
      </c>
      <c r="B1130" s="71" t="s">
        <v>2811</v>
      </c>
    </row>
    <row r="1131">
      <c r="A1131" s="72" t="s">
        <v>2812</v>
      </c>
      <c r="B1131" s="72" t="s">
        <v>1142</v>
      </c>
    </row>
    <row r="1132">
      <c r="A1132" s="71" t="s">
        <v>2813</v>
      </c>
      <c r="B1132" s="71" t="s">
        <v>2814</v>
      </c>
    </row>
    <row r="1133">
      <c r="A1133" s="72" t="s">
        <v>2815</v>
      </c>
      <c r="B1133" s="72" t="s">
        <v>2816</v>
      </c>
    </row>
    <row r="1134">
      <c r="A1134" s="71" t="s">
        <v>2817</v>
      </c>
      <c r="B1134" s="71" t="s">
        <v>2818</v>
      </c>
    </row>
    <row r="1135">
      <c r="A1135" s="72" t="s">
        <v>2819</v>
      </c>
      <c r="B1135" s="72" t="s">
        <v>1322</v>
      </c>
    </row>
    <row r="1136">
      <c r="A1136" s="71" t="s">
        <v>2820</v>
      </c>
      <c r="B1136" s="71" t="s">
        <v>2821</v>
      </c>
    </row>
    <row r="1137">
      <c r="A1137" s="72" t="s">
        <v>2822</v>
      </c>
      <c r="B1137" s="72" t="s">
        <v>1404</v>
      </c>
    </row>
    <row r="1138">
      <c r="A1138" s="71" t="s">
        <v>2823</v>
      </c>
      <c r="B1138" s="71" t="s">
        <v>1904</v>
      </c>
    </row>
    <row r="1139">
      <c r="A1139" s="72" t="s">
        <v>2824</v>
      </c>
      <c r="B1139" s="72" t="s">
        <v>1725</v>
      </c>
    </row>
    <row r="1140">
      <c r="A1140" s="71" t="s">
        <v>2825</v>
      </c>
      <c r="B1140" s="71" t="s">
        <v>2826</v>
      </c>
    </row>
    <row r="1141">
      <c r="A1141" s="72" t="s">
        <v>2827</v>
      </c>
      <c r="B1141" s="72" t="s">
        <v>1522</v>
      </c>
    </row>
    <row r="1142">
      <c r="A1142" s="71" t="s">
        <v>2828</v>
      </c>
      <c r="B1142" s="71" t="s">
        <v>1224</v>
      </c>
    </row>
    <row r="1143">
      <c r="A1143" s="72" t="s">
        <v>2829</v>
      </c>
      <c r="B1143" s="72" t="s">
        <v>1298</v>
      </c>
    </row>
    <row r="1144">
      <c r="A1144" s="71" t="s">
        <v>2830</v>
      </c>
      <c r="B1144" s="71" t="s">
        <v>2831</v>
      </c>
    </row>
    <row r="1145">
      <c r="A1145" s="72" t="s">
        <v>2832</v>
      </c>
      <c r="B1145" s="72" t="s">
        <v>1852</v>
      </c>
    </row>
    <row r="1146">
      <c r="A1146" s="71" t="s">
        <v>2833</v>
      </c>
      <c r="B1146" s="71" t="s">
        <v>1167</v>
      </c>
    </row>
    <row r="1147">
      <c r="A1147" s="72" t="s">
        <v>2834</v>
      </c>
      <c r="B1147" s="72" t="s">
        <v>1156</v>
      </c>
    </row>
    <row r="1148">
      <c r="A1148" s="71" t="s">
        <v>2835</v>
      </c>
      <c r="B1148" s="71" t="s">
        <v>1641</v>
      </c>
    </row>
    <row r="1149">
      <c r="A1149" s="72" t="s">
        <v>2836</v>
      </c>
      <c r="B1149" s="72" t="s">
        <v>1477</v>
      </c>
    </row>
    <row r="1150">
      <c r="A1150" s="71" t="s">
        <v>2837</v>
      </c>
      <c r="B1150" s="71" t="s">
        <v>1584</v>
      </c>
    </row>
    <row r="1151">
      <c r="A1151" s="72" t="s">
        <v>2838</v>
      </c>
      <c r="B1151" s="72" t="s">
        <v>1910</v>
      </c>
    </row>
    <row r="1152">
      <c r="A1152" s="71" t="s">
        <v>2839</v>
      </c>
      <c r="B1152" s="71" t="s">
        <v>2515</v>
      </c>
    </row>
    <row r="1153">
      <c r="A1153" s="72" t="s">
        <v>2840</v>
      </c>
      <c r="B1153" s="72" t="s">
        <v>2304</v>
      </c>
    </row>
    <row r="1154">
      <c r="A1154" s="71" t="s">
        <v>2841</v>
      </c>
      <c r="B1154" s="71" t="s">
        <v>1848</v>
      </c>
    </row>
    <row r="1155">
      <c r="A1155" s="72" t="s">
        <v>2842</v>
      </c>
      <c r="B1155" s="72" t="s">
        <v>2330</v>
      </c>
    </row>
    <row r="1156">
      <c r="A1156" s="71" t="s">
        <v>2843</v>
      </c>
      <c r="B1156" s="71" t="s">
        <v>2844</v>
      </c>
    </row>
    <row r="1157">
      <c r="A1157" s="72" t="s">
        <v>2845</v>
      </c>
      <c r="B1157" s="72" t="s">
        <v>2846</v>
      </c>
    </row>
    <row r="1158">
      <c r="A1158" s="71" t="s">
        <v>2847</v>
      </c>
      <c r="B1158" s="71" t="s">
        <v>1320</v>
      </c>
    </row>
    <row r="1159">
      <c r="A1159" s="72" t="s">
        <v>2848</v>
      </c>
      <c r="B1159" s="72" t="s">
        <v>1775</v>
      </c>
    </row>
    <row r="1160">
      <c r="A1160" s="71" t="s">
        <v>2849</v>
      </c>
      <c r="B1160" s="71" t="s">
        <v>1119</v>
      </c>
    </row>
    <row r="1161">
      <c r="A1161" s="72" t="s">
        <v>2850</v>
      </c>
      <c r="B1161" s="72" t="s">
        <v>2336</v>
      </c>
    </row>
    <row r="1162">
      <c r="A1162" s="71" t="s">
        <v>2851</v>
      </c>
      <c r="B1162" s="71" t="s">
        <v>1290</v>
      </c>
    </row>
    <row r="1163">
      <c r="A1163" s="72" t="s">
        <v>2852</v>
      </c>
      <c r="B1163" s="72" t="s">
        <v>2853</v>
      </c>
    </row>
    <row r="1164">
      <c r="A1164" s="71" t="s">
        <v>2854</v>
      </c>
      <c r="B1164" s="71" t="s">
        <v>2855</v>
      </c>
    </row>
    <row r="1165">
      <c r="A1165" s="72" t="s">
        <v>2856</v>
      </c>
      <c r="B1165" s="72" t="s">
        <v>1351</v>
      </c>
    </row>
    <row r="1166">
      <c r="A1166" s="71" t="s">
        <v>2857</v>
      </c>
      <c r="B1166" s="71" t="s">
        <v>2858</v>
      </c>
    </row>
    <row r="1167">
      <c r="A1167" s="72" t="s">
        <v>2859</v>
      </c>
      <c r="B1167" s="72" t="s">
        <v>1167</v>
      </c>
    </row>
    <row r="1168">
      <c r="A1168" s="71" t="s">
        <v>2860</v>
      </c>
      <c r="B1168" s="71" t="s">
        <v>2861</v>
      </c>
    </row>
    <row r="1169">
      <c r="A1169" s="72" t="s">
        <v>2862</v>
      </c>
      <c r="B1169" s="72" t="s">
        <v>1435</v>
      </c>
    </row>
    <row r="1170">
      <c r="A1170" s="71" t="s">
        <v>2863</v>
      </c>
      <c r="B1170" s="71" t="s">
        <v>2864</v>
      </c>
    </row>
    <row r="1171">
      <c r="A1171" s="72" t="s">
        <v>2865</v>
      </c>
      <c r="B1171" s="72" t="s">
        <v>2168</v>
      </c>
    </row>
    <row r="1172">
      <c r="A1172" s="71" t="s">
        <v>2866</v>
      </c>
      <c r="B1172" s="71" t="s">
        <v>2867</v>
      </c>
    </row>
    <row r="1173">
      <c r="A1173" s="72" t="s">
        <v>2868</v>
      </c>
      <c r="B1173" s="72" t="s">
        <v>2869</v>
      </c>
    </row>
    <row r="1174">
      <c r="A1174" s="71" t="s">
        <v>2870</v>
      </c>
      <c r="B1174" s="71" t="s">
        <v>1873</v>
      </c>
    </row>
    <row r="1175">
      <c r="A1175" s="72" t="s">
        <v>2871</v>
      </c>
      <c r="B1175" s="72" t="s">
        <v>1254</v>
      </c>
    </row>
    <row r="1176">
      <c r="A1176" s="71" t="s">
        <v>2872</v>
      </c>
      <c r="B1176" s="71" t="s">
        <v>2873</v>
      </c>
    </row>
    <row r="1177">
      <c r="A1177" s="72" t="s">
        <v>2874</v>
      </c>
      <c r="B1177" s="72" t="s">
        <v>1242</v>
      </c>
    </row>
    <row r="1178">
      <c r="A1178" s="71" t="s">
        <v>2875</v>
      </c>
      <c r="B1178" s="71" t="s">
        <v>1993</v>
      </c>
    </row>
    <row r="1179">
      <c r="A1179" s="72" t="s">
        <v>2876</v>
      </c>
      <c r="B1179" s="72" t="s">
        <v>1946</v>
      </c>
    </row>
    <row r="1180">
      <c r="A1180" s="71" t="s">
        <v>2877</v>
      </c>
      <c r="B1180" s="71" t="s">
        <v>1156</v>
      </c>
    </row>
    <row r="1181">
      <c r="A1181" s="72" t="s">
        <v>2878</v>
      </c>
      <c r="B1181" s="72" t="s">
        <v>1967</v>
      </c>
    </row>
    <row r="1182">
      <c r="A1182" s="71" t="s">
        <v>2879</v>
      </c>
      <c r="B1182" s="71" t="s">
        <v>1169</v>
      </c>
    </row>
    <row r="1183">
      <c r="A1183" s="72" t="s">
        <v>2880</v>
      </c>
      <c r="B1183" s="72" t="s">
        <v>1694</v>
      </c>
    </row>
    <row r="1184">
      <c r="A1184" s="71" t="s">
        <v>2881</v>
      </c>
      <c r="B1184" s="71" t="s">
        <v>2094</v>
      </c>
    </row>
    <row r="1185">
      <c r="A1185" s="72" t="s">
        <v>2882</v>
      </c>
      <c r="B1185" s="72" t="s">
        <v>1531</v>
      </c>
    </row>
    <row r="1186">
      <c r="A1186" s="71" t="s">
        <v>2883</v>
      </c>
      <c r="B1186" s="71" t="s">
        <v>2172</v>
      </c>
    </row>
    <row r="1187">
      <c r="A1187" s="72" t="s">
        <v>2884</v>
      </c>
      <c r="B1187" s="72" t="s">
        <v>1337</v>
      </c>
    </row>
    <row r="1188">
      <c r="A1188" s="71" t="s">
        <v>2885</v>
      </c>
      <c r="B1188" s="71" t="s">
        <v>1286</v>
      </c>
    </row>
    <row r="1189">
      <c r="A1189" s="72" t="s">
        <v>2886</v>
      </c>
      <c r="B1189" s="72" t="s">
        <v>2887</v>
      </c>
    </row>
    <row r="1190">
      <c r="A1190" s="71" t="s">
        <v>2888</v>
      </c>
      <c r="B1190" s="71" t="s">
        <v>2889</v>
      </c>
    </row>
    <row r="1191">
      <c r="A1191" s="72" t="s">
        <v>2890</v>
      </c>
      <c r="B1191" s="72" t="s">
        <v>1183</v>
      </c>
    </row>
    <row r="1192">
      <c r="A1192" s="71" t="s">
        <v>2891</v>
      </c>
      <c r="B1192" s="71" t="s">
        <v>1113</v>
      </c>
    </row>
    <row r="1193">
      <c r="A1193" s="72" t="s">
        <v>2892</v>
      </c>
      <c r="B1193" s="72" t="s">
        <v>1910</v>
      </c>
    </row>
    <row r="1194">
      <c r="A1194" s="71" t="s">
        <v>2893</v>
      </c>
      <c r="B1194" s="71" t="s">
        <v>1284</v>
      </c>
    </row>
    <row r="1195">
      <c r="A1195" s="72" t="s">
        <v>2894</v>
      </c>
      <c r="B1195" s="72" t="s">
        <v>1183</v>
      </c>
    </row>
    <row r="1196">
      <c r="A1196" s="71" t="s">
        <v>2895</v>
      </c>
      <c r="B1196" s="71" t="s">
        <v>1224</v>
      </c>
    </row>
    <row r="1197">
      <c r="A1197" s="72" t="s">
        <v>2896</v>
      </c>
      <c r="B1197" s="72" t="s">
        <v>1406</v>
      </c>
    </row>
    <row r="1198">
      <c r="A1198" s="71" t="s">
        <v>2897</v>
      </c>
      <c r="B1198" s="71" t="s">
        <v>1423</v>
      </c>
    </row>
    <row r="1199">
      <c r="A1199" s="72" t="s">
        <v>2898</v>
      </c>
      <c r="B1199" s="72" t="s">
        <v>2899</v>
      </c>
    </row>
    <row r="1200">
      <c r="A1200" s="71" t="s">
        <v>2900</v>
      </c>
      <c r="B1200" s="71" t="s">
        <v>2901</v>
      </c>
    </row>
    <row r="1201">
      <c r="A1201" s="72" t="s">
        <v>2902</v>
      </c>
      <c r="B1201" s="72" t="s">
        <v>2903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13"/>
    <col customWidth="1" min="5" max="5" width="78.0"/>
    <col customWidth="1" min="6" max="6" width="25.13"/>
    <col customWidth="1" min="7" max="7" width="80.75"/>
    <col customWidth="1" min="8" max="9" width="27.63"/>
  </cols>
  <sheetData>
    <row r="1">
      <c r="A1" s="73" t="s">
        <v>2904</v>
      </c>
      <c r="B1" s="74"/>
      <c r="C1" s="74"/>
      <c r="D1" s="74"/>
      <c r="E1" s="74"/>
      <c r="F1" s="74"/>
      <c r="G1" s="74"/>
      <c r="H1" s="75" t="s">
        <v>2905</v>
      </c>
    </row>
    <row r="2">
      <c r="A2" s="73" t="s">
        <v>2906</v>
      </c>
      <c r="B2" s="76">
        <v>46171.726780625</v>
      </c>
      <c r="C2" s="73" t="s">
        <v>2907</v>
      </c>
      <c r="D2" s="77">
        <v>3.753485809315426</v>
      </c>
      <c r="E2" s="73" t="s">
        <v>2908</v>
      </c>
      <c r="F2" s="77">
        <v>83.0</v>
      </c>
      <c r="G2" s="74"/>
    </row>
    <row r="3">
      <c r="A3" s="73" t="s">
        <v>2909</v>
      </c>
      <c r="B3" s="77">
        <v>0.7210366193460944</v>
      </c>
      <c r="C3" s="73" t="s">
        <v>2910</v>
      </c>
      <c r="D3" s="77">
        <v>5.2056798623063685</v>
      </c>
      <c r="E3" s="74"/>
      <c r="F3" s="74"/>
      <c r="G3" s="74"/>
      <c r="H3" s="78" t="s">
        <v>2911</v>
      </c>
      <c r="I3" s="79">
        <v>1.0</v>
      </c>
    </row>
    <row r="4">
      <c r="A4" s="73" t="s">
        <v>2912</v>
      </c>
      <c r="B4" s="77">
        <v>1162.0</v>
      </c>
      <c r="C4" s="73" t="s">
        <v>2913</v>
      </c>
      <c r="D4" s="77">
        <v>5395.0</v>
      </c>
      <c r="E4" s="73" t="s">
        <v>2914</v>
      </c>
      <c r="F4" s="77">
        <v>83.0</v>
      </c>
      <c r="G4" s="74"/>
      <c r="H4" s="78" t="s">
        <v>2915</v>
      </c>
      <c r="I4" s="79" t="s">
        <v>2916</v>
      </c>
    </row>
    <row r="5">
      <c r="A5" s="74"/>
      <c r="B5" s="74"/>
      <c r="C5" s="74"/>
      <c r="D5" s="74"/>
      <c r="E5" s="74"/>
      <c r="F5" s="74"/>
      <c r="G5" s="74"/>
      <c r="H5" s="78" t="s">
        <v>2917</v>
      </c>
      <c r="I5" s="79">
        <v>4.0</v>
      </c>
    </row>
    <row r="6">
      <c r="A6" s="73" t="s">
        <v>2918</v>
      </c>
      <c r="B6" s="73" t="s">
        <v>2919</v>
      </c>
      <c r="C6" s="73" t="s">
        <v>2920</v>
      </c>
      <c r="D6" s="73" t="s">
        <v>2921</v>
      </c>
      <c r="E6" s="73" t="s">
        <v>2922</v>
      </c>
      <c r="F6" s="73" t="s">
        <v>745</v>
      </c>
      <c r="G6" s="73" t="s">
        <v>2923</v>
      </c>
      <c r="H6" s="78"/>
      <c r="I6" s="80"/>
    </row>
    <row r="7">
      <c r="A7" s="73">
        <v>0.0</v>
      </c>
      <c r="B7" s="77">
        <v>181.0</v>
      </c>
      <c r="C7" s="73">
        <v>181.0</v>
      </c>
      <c r="D7" s="81" t="s">
        <v>2924</v>
      </c>
      <c r="E7" s="73">
        <v>0.0</v>
      </c>
      <c r="F7" s="77">
        <v>1093.0</v>
      </c>
      <c r="G7" s="73" t="s">
        <v>2925</v>
      </c>
      <c r="H7" s="78" t="s">
        <v>2926</v>
      </c>
      <c r="I7" s="79" t="s">
        <v>2927</v>
      </c>
    </row>
    <row r="8">
      <c r="A8" s="73">
        <v>1.0</v>
      </c>
      <c r="B8" s="73">
        <v>66.0</v>
      </c>
      <c r="C8" s="73">
        <v>247.0</v>
      </c>
      <c r="D8" s="81" t="s">
        <v>2928</v>
      </c>
      <c r="E8" s="73">
        <v>1.0</v>
      </c>
      <c r="F8" s="73">
        <v>56.0</v>
      </c>
      <c r="G8" s="73" t="s">
        <v>2929</v>
      </c>
      <c r="H8" s="78" t="s">
        <v>2930</v>
      </c>
      <c r="I8" s="82" t="s">
        <v>2931</v>
      </c>
    </row>
    <row r="9">
      <c r="A9" s="73">
        <v>2.0</v>
      </c>
      <c r="B9" s="73">
        <v>156.0</v>
      </c>
      <c r="C9" s="73">
        <v>403.0</v>
      </c>
      <c r="D9" s="81" t="s">
        <v>2932</v>
      </c>
      <c r="E9" s="73">
        <v>2.0</v>
      </c>
      <c r="F9" s="73">
        <v>12.0</v>
      </c>
      <c r="G9" s="83">
        <v>0.01</v>
      </c>
      <c r="H9" s="78" t="s">
        <v>2933</v>
      </c>
      <c r="I9" s="82" t="s">
        <v>2934</v>
      </c>
    </row>
    <row r="10">
      <c r="A10" s="73">
        <v>3.0</v>
      </c>
      <c r="B10" s="73">
        <v>93.0</v>
      </c>
      <c r="C10" s="73">
        <v>496.0</v>
      </c>
      <c r="D10" s="81" t="s">
        <v>2935</v>
      </c>
      <c r="E10" s="73">
        <v>3.0</v>
      </c>
      <c r="F10" s="73">
        <v>1.0</v>
      </c>
      <c r="G10" s="73" t="s">
        <v>2936</v>
      </c>
      <c r="H10" s="78" t="s">
        <v>2937</v>
      </c>
      <c r="I10" s="82">
        <v>0.0</v>
      </c>
    </row>
    <row r="11">
      <c r="A11" s="73">
        <v>4.0</v>
      </c>
      <c r="B11" s="77">
        <v>60.0</v>
      </c>
      <c r="C11" s="73">
        <v>556.0</v>
      </c>
      <c r="D11" s="81" t="s">
        <v>2938</v>
      </c>
      <c r="E11" s="73"/>
      <c r="F11" s="77"/>
      <c r="G11" s="73"/>
      <c r="H11" s="80"/>
      <c r="I11" s="80"/>
    </row>
    <row r="12">
      <c r="A12" s="73">
        <v>5.0</v>
      </c>
      <c r="B12" s="73">
        <v>235.0</v>
      </c>
      <c r="C12" s="73">
        <v>791.0</v>
      </c>
      <c r="D12" s="81" t="s">
        <v>2939</v>
      </c>
      <c r="E12" s="73"/>
      <c r="F12" s="73"/>
      <c r="G12" s="73"/>
      <c r="H12" s="84" t="s">
        <v>2940</v>
      </c>
      <c r="I12" s="80"/>
    </row>
    <row r="13">
      <c r="A13" s="73">
        <v>6.0</v>
      </c>
      <c r="B13" s="77">
        <v>37.0</v>
      </c>
      <c r="C13" s="73">
        <v>828.0</v>
      </c>
      <c r="D13" s="81" t="s">
        <v>2941</v>
      </c>
      <c r="E13" s="73"/>
      <c r="F13" s="77"/>
      <c r="G13" s="73"/>
    </row>
    <row r="14">
      <c r="A14" s="73">
        <v>7.0</v>
      </c>
      <c r="B14" s="73">
        <v>54.0</v>
      </c>
      <c r="C14" s="73">
        <v>882.0</v>
      </c>
      <c r="D14" s="81" t="s">
        <v>2942</v>
      </c>
      <c r="E14" s="73"/>
      <c r="F14" s="73"/>
      <c r="G14" s="73"/>
    </row>
    <row r="15">
      <c r="A15" s="73">
        <v>8.0</v>
      </c>
      <c r="B15" s="77">
        <v>95.0</v>
      </c>
      <c r="C15" s="73">
        <v>977.0</v>
      </c>
      <c r="D15" s="81" t="s">
        <v>2943</v>
      </c>
      <c r="E15" s="73"/>
      <c r="F15" s="77"/>
      <c r="G15" s="83"/>
    </row>
    <row r="16">
      <c r="A16" s="73">
        <v>9.0</v>
      </c>
      <c r="B16" s="73">
        <v>44.0</v>
      </c>
      <c r="C16" s="73">
        <v>1021.0</v>
      </c>
      <c r="D16" s="81" t="s">
        <v>2944</v>
      </c>
      <c r="E16" s="73"/>
      <c r="F16" s="73"/>
      <c r="G16" s="83"/>
    </row>
    <row r="17">
      <c r="A17" s="73">
        <v>10.0</v>
      </c>
      <c r="B17" s="77">
        <v>46.0</v>
      </c>
      <c r="C17" s="73">
        <v>1067.0</v>
      </c>
      <c r="D17" s="81" t="s">
        <v>2945</v>
      </c>
      <c r="E17" s="73"/>
      <c r="F17" s="77"/>
      <c r="G17" s="73"/>
    </row>
    <row r="18">
      <c r="A18" s="73">
        <v>11.0</v>
      </c>
      <c r="B18" s="73">
        <v>64.0</v>
      </c>
      <c r="C18" s="73">
        <v>1131.0</v>
      </c>
      <c r="D18" s="81" t="s">
        <v>2946</v>
      </c>
      <c r="E18" s="73"/>
      <c r="F18" s="73"/>
      <c r="G18" s="73"/>
    </row>
    <row r="19">
      <c r="A19" s="73">
        <v>12.0</v>
      </c>
      <c r="B19" s="77">
        <v>18.0</v>
      </c>
      <c r="C19" s="73">
        <v>1149.0</v>
      </c>
      <c r="D19" s="81" t="s">
        <v>2947</v>
      </c>
      <c r="E19" s="73"/>
      <c r="F19" s="77"/>
      <c r="G19" s="73"/>
    </row>
    <row r="20">
      <c r="A20" s="73">
        <v>13.0</v>
      </c>
      <c r="B20" s="77">
        <v>1.0</v>
      </c>
      <c r="C20" s="73">
        <v>1150.0</v>
      </c>
      <c r="D20" s="81">
        <v>0.99</v>
      </c>
      <c r="E20" s="73"/>
      <c r="F20" s="77"/>
      <c r="G20" s="73"/>
    </row>
    <row r="21">
      <c r="A21" s="73">
        <v>14.0</v>
      </c>
      <c r="B21" s="77">
        <v>7.0</v>
      </c>
      <c r="C21" s="73">
        <v>1157.0</v>
      </c>
      <c r="D21" s="81" t="s">
        <v>2948</v>
      </c>
      <c r="E21" s="73"/>
      <c r="F21" s="77"/>
      <c r="G21" s="73"/>
    </row>
    <row r="22">
      <c r="A22" s="73">
        <v>15.0</v>
      </c>
      <c r="B22" s="73">
        <v>4.0</v>
      </c>
      <c r="C22" s="73">
        <v>1161.0</v>
      </c>
      <c r="D22" s="81" t="s">
        <v>2949</v>
      </c>
      <c r="E22" s="73"/>
      <c r="F22" s="73"/>
      <c r="G22" s="73"/>
    </row>
    <row r="23">
      <c r="A23" s="73">
        <v>16.0</v>
      </c>
      <c r="B23" s="77">
        <v>1.0</v>
      </c>
      <c r="C23" s="73">
        <v>1162.0</v>
      </c>
      <c r="D23" s="81">
        <v>1.0</v>
      </c>
      <c r="E23" s="73"/>
      <c r="F23" s="77"/>
      <c r="G23" s="73"/>
    </row>
    <row r="24">
      <c r="A24" s="73"/>
      <c r="B24" s="73"/>
      <c r="C24" s="73"/>
      <c r="D24" s="74"/>
      <c r="E24" s="73"/>
      <c r="F24" s="73"/>
      <c r="G24" s="73"/>
    </row>
    <row r="25">
      <c r="A25" s="73" t="s">
        <v>2950</v>
      </c>
      <c r="B25" s="73" t="s">
        <v>2951</v>
      </c>
      <c r="C25" s="73" t="s">
        <v>2923</v>
      </c>
      <c r="D25" s="74"/>
      <c r="E25" s="73" t="s">
        <v>2952</v>
      </c>
      <c r="F25" s="73" t="s">
        <v>2951</v>
      </c>
      <c r="G25" s="73" t="s">
        <v>2923</v>
      </c>
    </row>
    <row r="26">
      <c r="A26" s="73" t="s">
        <v>158</v>
      </c>
      <c r="B26" s="77">
        <v>168.0</v>
      </c>
      <c r="C26" s="73" t="s">
        <v>2953</v>
      </c>
      <c r="D26" s="74"/>
      <c r="E26" s="73" t="s">
        <v>2954</v>
      </c>
      <c r="F26" s="77">
        <v>85.0</v>
      </c>
      <c r="G26" s="73" t="s">
        <v>2955</v>
      </c>
    </row>
    <row r="27">
      <c r="A27" s="73" t="s">
        <v>149</v>
      </c>
      <c r="B27" s="77">
        <v>154.0</v>
      </c>
      <c r="C27" s="73" t="s">
        <v>2956</v>
      </c>
      <c r="D27" s="74"/>
      <c r="E27" s="73" t="s">
        <v>2957</v>
      </c>
      <c r="F27" s="77">
        <v>65.0</v>
      </c>
      <c r="G27" s="73" t="s">
        <v>2958</v>
      </c>
    </row>
    <row r="28">
      <c r="A28" s="73" t="s">
        <v>20</v>
      </c>
      <c r="B28" s="73">
        <v>150.0</v>
      </c>
      <c r="C28" s="73" t="s">
        <v>2959</v>
      </c>
      <c r="D28" s="74"/>
      <c r="E28" s="73" t="s">
        <v>2960</v>
      </c>
      <c r="F28" s="73">
        <v>64.0</v>
      </c>
      <c r="G28" s="73" t="s">
        <v>2961</v>
      </c>
    </row>
    <row r="29">
      <c r="A29" s="73" t="s">
        <v>151</v>
      </c>
      <c r="B29" s="77">
        <v>147.0</v>
      </c>
      <c r="C29" s="73" t="s">
        <v>2962</v>
      </c>
      <c r="D29" s="74"/>
      <c r="E29" s="73" t="s">
        <v>2963</v>
      </c>
      <c r="F29" s="77">
        <v>63.0</v>
      </c>
      <c r="G29" s="73" t="s">
        <v>2964</v>
      </c>
    </row>
    <row r="30">
      <c r="A30" s="73" t="s">
        <v>169</v>
      </c>
      <c r="B30" s="77">
        <v>141.0</v>
      </c>
      <c r="C30" s="73" t="s">
        <v>2965</v>
      </c>
      <c r="D30" s="74"/>
      <c r="E30" s="73" t="s">
        <v>2966</v>
      </c>
      <c r="F30" s="77">
        <v>61.0</v>
      </c>
      <c r="G30" s="73" t="s">
        <v>2967</v>
      </c>
    </row>
    <row r="31">
      <c r="A31" s="73" t="s">
        <v>165</v>
      </c>
      <c r="B31" s="77">
        <v>138.0</v>
      </c>
      <c r="C31" s="73" t="s">
        <v>2968</v>
      </c>
      <c r="D31" s="74"/>
      <c r="E31" s="73" t="s">
        <v>2969</v>
      </c>
      <c r="F31" s="77">
        <v>59.0</v>
      </c>
      <c r="G31" s="73" t="s">
        <v>2970</v>
      </c>
    </row>
    <row r="32">
      <c r="A32" s="73" t="s">
        <v>380</v>
      </c>
      <c r="B32" s="77">
        <v>132.0</v>
      </c>
      <c r="C32" s="73" t="s">
        <v>2971</v>
      </c>
      <c r="D32" s="74"/>
      <c r="E32" s="73" t="s">
        <v>2972</v>
      </c>
      <c r="F32" s="77">
        <v>58.0</v>
      </c>
      <c r="G32" s="83">
        <v>0.05</v>
      </c>
    </row>
    <row r="33">
      <c r="A33" s="73" t="s">
        <v>167</v>
      </c>
      <c r="B33" s="77">
        <v>127.0</v>
      </c>
      <c r="C33" s="73" t="s">
        <v>2973</v>
      </c>
      <c r="D33" s="74"/>
      <c r="E33" s="73" t="s">
        <v>2974</v>
      </c>
      <c r="F33" s="77">
        <v>58.0</v>
      </c>
      <c r="G33" s="83">
        <v>0.05</v>
      </c>
    </row>
    <row r="34">
      <c r="A34" s="73" t="s">
        <v>2975</v>
      </c>
      <c r="B34" s="77">
        <v>127.0</v>
      </c>
      <c r="C34" s="73" t="s">
        <v>2973</v>
      </c>
      <c r="D34" s="74"/>
      <c r="E34" s="73" t="s">
        <v>2976</v>
      </c>
      <c r="F34" s="77">
        <v>58.0</v>
      </c>
      <c r="G34" s="83">
        <v>0.05</v>
      </c>
    </row>
    <row r="35">
      <c r="A35" s="73" t="s">
        <v>2977</v>
      </c>
      <c r="B35" s="77">
        <v>123.0</v>
      </c>
      <c r="C35" s="73" t="s">
        <v>2978</v>
      </c>
      <c r="D35" s="74"/>
      <c r="E35" s="73" t="s">
        <v>2979</v>
      </c>
      <c r="F35" s="77">
        <v>56.0</v>
      </c>
      <c r="G35" s="73" t="s">
        <v>2929</v>
      </c>
    </row>
    <row r="36">
      <c r="A36" s="73" t="s">
        <v>2980</v>
      </c>
      <c r="B36" s="77">
        <v>122.0</v>
      </c>
      <c r="C36" s="73" t="s">
        <v>2981</v>
      </c>
      <c r="D36" s="74"/>
      <c r="E36" s="73" t="s">
        <v>2982</v>
      </c>
      <c r="F36" s="77">
        <v>56.0</v>
      </c>
      <c r="G36" s="73" t="s">
        <v>2929</v>
      </c>
    </row>
    <row r="37">
      <c r="A37" s="73" t="s">
        <v>171</v>
      </c>
      <c r="B37" s="77">
        <v>116.0</v>
      </c>
      <c r="C37" s="83">
        <v>0.1</v>
      </c>
      <c r="D37" s="74"/>
      <c r="E37" s="73" t="s">
        <v>2983</v>
      </c>
      <c r="F37" s="77">
        <v>55.0</v>
      </c>
      <c r="G37" s="73" t="s">
        <v>2984</v>
      </c>
    </row>
    <row r="38">
      <c r="A38" s="73" t="s">
        <v>159</v>
      </c>
      <c r="B38" s="77">
        <v>98.0</v>
      </c>
      <c r="C38" s="73" t="s">
        <v>2985</v>
      </c>
      <c r="D38" s="74"/>
      <c r="E38" s="73" t="s">
        <v>2986</v>
      </c>
      <c r="F38" s="77">
        <v>54.0</v>
      </c>
      <c r="G38" s="73" t="s">
        <v>2987</v>
      </c>
    </row>
    <row r="39">
      <c r="A39" s="73" t="s">
        <v>400</v>
      </c>
      <c r="B39" s="73">
        <v>98.0</v>
      </c>
      <c r="C39" s="73" t="s">
        <v>2985</v>
      </c>
      <c r="D39" s="74"/>
      <c r="E39" s="73" t="s">
        <v>2988</v>
      </c>
      <c r="F39" s="73">
        <v>54.0</v>
      </c>
      <c r="G39" s="73" t="s">
        <v>2987</v>
      </c>
    </row>
    <row r="40">
      <c r="A40" s="73" t="s">
        <v>184</v>
      </c>
      <c r="B40" s="77">
        <v>90.0</v>
      </c>
      <c r="C40" s="73" t="s">
        <v>2989</v>
      </c>
      <c r="D40" s="74"/>
      <c r="E40" s="73" t="s">
        <v>2990</v>
      </c>
      <c r="F40" s="77">
        <v>53.0</v>
      </c>
      <c r="G40" s="73" t="s">
        <v>2987</v>
      </c>
    </row>
    <row r="41">
      <c r="A41" s="73" t="s">
        <v>181</v>
      </c>
      <c r="B41" s="77">
        <v>86.0</v>
      </c>
      <c r="C41" s="73" t="s">
        <v>2991</v>
      </c>
      <c r="D41" s="74"/>
      <c r="E41" s="73" t="s">
        <v>2992</v>
      </c>
      <c r="F41" s="77">
        <v>53.0</v>
      </c>
      <c r="G41" s="73" t="s">
        <v>2987</v>
      </c>
    </row>
    <row r="42">
      <c r="A42" s="73" t="s">
        <v>187</v>
      </c>
      <c r="B42" s="77">
        <v>85.0</v>
      </c>
      <c r="C42" s="73" t="s">
        <v>2955</v>
      </c>
      <c r="D42" s="74"/>
      <c r="E42" s="73" t="s">
        <v>2993</v>
      </c>
      <c r="F42" s="77">
        <v>53.0</v>
      </c>
      <c r="G42" s="73" t="s">
        <v>2987</v>
      </c>
    </row>
    <row r="43">
      <c r="A43" s="73" t="s">
        <v>403</v>
      </c>
      <c r="B43" s="77">
        <v>78.0</v>
      </c>
      <c r="C43" s="73" t="s">
        <v>2994</v>
      </c>
      <c r="D43" s="74"/>
      <c r="E43" s="73" t="s">
        <v>2995</v>
      </c>
      <c r="F43" s="77">
        <v>52.0</v>
      </c>
      <c r="G43" s="73" t="s">
        <v>2996</v>
      </c>
    </row>
    <row r="44">
      <c r="A44" s="73" t="s">
        <v>205</v>
      </c>
      <c r="B44" s="77">
        <v>70.0</v>
      </c>
      <c r="C44" s="83">
        <v>0.06</v>
      </c>
      <c r="D44" s="74"/>
      <c r="E44" s="73" t="s">
        <v>2997</v>
      </c>
      <c r="F44" s="77">
        <v>51.0</v>
      </c>
      <c r="G44" s="73" t="s">
        <v>2998</v>
      </c>
    </row>
    <row r="45">
      <c r="A45" s="73" t="s">
        <v>189</v>
      </c>
      <c r="B45" s="77">
        <v>65.0</v>
      </c>
      <c r="C45" s="73" t="s">
        <v>2958</v>
      </c>
      <c r="D45" s="74"/>
      <c r="E45" s="73" t="s">
        <v>2999</v>
      </c>
      <c r="F45" s="77">
        <v>50.0</v>
      </c>
      <c r="G45" s="73" t="s">
        <v>3000</v>
      </c>
    </row>
    <row r="46">
      <c r="A46" s="73" t="s">
        <v>3001</v>
      </c>
      <c r="B46" s="77">
        <v>63.0</v>
      </c>
      <c r="C46" s="73" t="s">
        <v>2964</v>
      </c>
      <c r="D46" s="74"/>
      <c r="E46" s="73" t="s">
        <v>3002</v>
      </c>
      <c r="F46" s="77">
        <v>49.0</v>
      </c>
      <c r="G46" s="73" t="s">
        <v>3003</v>
      </c>
    </row>
    <row r="47">
      <c r="A47" s="73" t="s">
        <v>396</v>
      </c>
      <c r="B47" s="77">
        <v>62.0</v>
      </c>
      <c r="C47" s="73" t="s">
        <v>3004</v>
      </c>
      <c r="D47" s="74"/>
      <c r="E47" s="73" t="s">
        <v>3005</v>
      </c>
      <c r="F47" s="77">
        <v>49.0</v>
      </c>
      <c r="G47" s="73" t="s">
        <v>3003</v>
      </c>
    </row>
    <row r="48">
      <c r="A48" s="73" t="s">
        <v>179</v>
      </c>
      <c r="B48" s="77">
        <v>59.0</v>
      </c>
      <c r="C48" s="73" t="s">
        <v>2970</v>
      </c>
      <c r="D48" s="74"/>
      <c r="E48" s="73" t="s">
        <v>3006</v>
      </c>
      <c r="F48" s="77">
        <v>49.0</v>
      </c>
      <c r="G48" s="73" t="s">
        <v>3003</v>
      </c>
    </row>
    <row r="49">
      <c r="A49" s="73" t="s">
        <v>409</v>
      </c>
      <c r="B49" s="77">
        <v>56.0</v>
      </c>
      <c r="C49" s="73" t="s">
        <v>2929</v>
      </c>
      <c r="D49" s="74"/>
      <c r="E49" s="73" t="s">
        <v>3007</v>
      </c>
      <c r="F49" s="77">
        <v>49.0</v>
      </c>
      <c r="G49" s="73" t="s">
        <v>3003</v>
      </c>
    </row>
    <row r="50">
      <c r="A50" s="73" t="s">
        <v>3008</v>
      </c>
      <c r="B50" s="77">
        <v>56.0</v>
      </c>
      <c r="C50" s="73" t="s">
        <v>2929</v>
      </c>
      <c r="D50" s="74"/>
      <c r="E50" s="73" t="s">
        <v>3009</v>
      </c>
      <c r="F50" s="77">
        <v>49.0</v>
      </c>
      <c r="G50" s="73" t="s">
        <v>3003</v>
      </c>
    </row>
    <row r="51">
      <c r="A51" s="73" t="s">
        <v>203</v>
      </c>
      <c r="B51" s="77">
        <v>54.0</v>
      </c>
      <c r="C51" s="73" t="s">
        <v>2987</v>
      </c>
      <c r="D51" s="74"/>
      <c r="E51" s="73" t="s">
        <v>3010</v>
      </c>
      <c r="F51" s="77">
        <v>48.0</v>
      </c>
      <c r="G51" s="73" t="s">
        <v>3011</v>
      </c>
    </row>
    <row r="52">
      <c r="A52" s="73" t="s">
        <v>3012</v>
      </c>
      <c r="B52" s="77">
        <v>54.0</v>
      </c>
      <c r="C52" s="73" t="s">
        <v>2987</v>
      </c>
      <c r="D52" s="74"/>
      <c r="E52" s="73" t="s">
        <v>3013</v>
      </c>
      <c r="F52" s="77">
        <v>48.0</v>
      </c>
      <c r="G52" s="73" t="s">
        <v>3011</v>
      </c>
    </row>
    <row r="53">
      <c r="A53" s="73" t="s">
        <v>3014</v>
      </c>
      <c r="B53" s="77">
        <v>53.0</v>
      </c>
      <c r="C53" s="73" t="s">
        <v>2987</v>
      </c>
      <c r="D53" s="74"/>
      <c r="E53" s="73" t="s">
        <v>3015</v>
      </c>
      <c r="F53" s="77">
        <v>47.0</v>
      </c>
      <c r="G53" s="83">
        <v>0.04</v>
      </c>
    </row>
    <row r="54">
      <c r="A54" s="73" t="s">
        <v>201</v>
      </c>
      <c r="B54" s="77">
        <v>51.0</v>
      </c>
      <c r="C54" s="73" t="s">
        <v>2998</v>
      </c>
      <c r="D54" s="74"/>
      <c r="E54" s="73" t="s">
        <v>3016</v>
      </c>
      <c r="F54" s="77">
        <v>47.0</v>
      </c>
      <c r="G54" s="83">
        <v>0.04</v>
      </c>
    </row>
    <row r="55">
      <c r="A55" s="73" t="s">
        <v>3017</v>
      </c>
      <c r="B55" s="77">
        <v>50.0</v>
      </c>
      <c r="C55" s="73" t="s">
        <v>3000</v>
      </c>
      <c r="D55" s="74"/>
      <c r="E55" s="73" t="s">
        <v>3018</v>
      </c>
      <c r="F55" s="77">
        <v>47.0</v>
      </c>
      <c r="G55" s="83">
        <v>0.04</v>
      </c>
    </row>
    <row r="56">
      <c r="A56" s="73" t="s">
        <v>207</v>
      </c>
      <c r="B56" s="73">
        <v>47.0</v>
      </c>
      <c r="C56" s="83">
        <v>0.04</v>
      </c>
      <c r="D56" s="73"/>
      <c r="E56" s="73" t="s">
        <v>3019</v>
      </c>
      <c r="F56" s="73">
        <v>47.0</v>
      </c>
      <c r="G56" s="83">
        <v>0.04</v>
      </c>
    </row>
    <row r="57">
      <c r="A57" s="73" t="s">
        <v>414</v>
      </c>
      <c r="B57" s="77">
        <v>47.0</v>
      </c>
      <c r="C57" s="83">
        <v>0.04</v>
      </c>
      <c r="D57" s="77"/>
      <c r="E57" s="73" t="s">
        <v>3020</v>
      </c>
      <c r="F57" s="77">
        <v>47.0</v>
      </c>
      <c r="G57" s="83">
        <v>0.04</v>
      </c>
    </row>
    <row r="58">
      <c r="A58" s="73" t="s">
        <v>154</v>
      </c>
      <c r="B58" s="77">
        <v>46.0</v>
      </c>
      <c r="C58" s="83">
        <v>0.04</v>
      </c>
      <c r="D58" s="77"/>
      <c r="E58" s="73" t="s">
        <v>3021</v>
      </c>
      <c r="F58" s="77">
        <v>46.0</v>
      </c>
      <c r="G58" s="83">
        <v>0.04</v>
      </c>
    </row>
    <row r="59">
      <c r="A59" s="73" t="s">
        <v>199</v>
      </c>
      <c r="B59" s="77">
        <v>46.0</v>
      </c>
      <c r="C59" s="83">
        <v>0.04</v>
      </c>
      <c r="D59" s="77"/>
      <c r="E59" s="73" t="s">
        <v>3022</v>
      </c>
      <c r="F59" s="77">
        <v>46.0</v>
      </c>
      <c r="G59" s="83">
        <v>0.04</v>
      </c>
    </row>
    <row r="60">
      <c r="A60" s="73" t="s">
        <v>387</v>
      </c>
      <c r="B60" s="77">
        <v>45.0</v>
      </c>
      <c r="C60" s="73" t="s">
        <v>3023</v>
      </c>
      <c r="D60" s="77"/>
      <c r="E60" s="73" t="s">
        <v>3024</v>
      </c>
      <c r="F60" s="77">
        <v>45.0</v>
      </c>
      <c r="G60" s="73" t="s">
        <v>3023</v>
      </c>
    </row>
    <row r="61">
      <c r="A61" s="73" t="s">
        <v>3025</v>
      </c>
      <c r="B61" s="77">
        <v>44.0</v>
      </c>
      <c r="C61" s="73" t="s">
        <v>3026</v>
      </c>
      <c r="D61" s="77"/>
      <c r="E61" s="73" t="s">
        <v>3027</v>
      </c>
      <c r="F61" s="77">
        <v>45.0</v>
      </c>
      <c r="G61" s="73" t="s">
        <v>3023</v>
      </c>
    </row>
    <row r="62">
      <c r="A62" s="73" t="s">
        <v>22</v>
      </c>
      <c r="B62" s="77">
        <v>41.0</v>
      </c>
      <c r="C62" s="73" t="s">
        <v>3028</v>
      </c>
      <c r="D62" s="77"/>
      <c r="E62" s="73" t="s">
        <v>3029</v>
      </c>
      <c r="F62" s="77">
        <v>45.0</v>
      </c>
      <c r="G62" s="73" t="s">
        <v>3023</v>
      </c>
    </row>
    <row r="63">
      <c r="A63" s="73" t="s">
        <v>3030</v>
      </c>
      <c r="B63" s="77">
        <v>40.0</v>
      </c>
      <c r="C63" s="73" t="s">
        <v>3031</v>
      </c>
      <c r="D63" s="77"/>
      <c r="E63" s="73" t="s">
        <v>3032</v>
      </c>
      <c r="F63" s="77">
        <v>44.0</v>
      </c>
      <c r="G63" s="73" t="s">
        <v>3026</v>
      </c>
    </row>
    <row r="64">
      <c r="A64" s="73" t="s">
        <v>18</v>
      </c>
      <c r="B64" s="77">
        <v>38.0</v>
      </c>
      <c r="C64" s="73" t="s">
        <v>3033</v>
      </c>
      <c r="D64" s="77"/>
      <c r="E64" s="73" t="s">
        <v>3034</v>
      </c>
      <c r="F64" s="77">
        <v>44.0</v>
      </c>
      <c r="G64" s="73" t="s">
        <v>3026</v>
      </c>
    </row>
    <row r="65">
      <c r="A65" s="73" t="s">
        <v>25</v>
      </c>
      <c r="B65" s="77">
        <v>37.0</v>
      </c>
      <c r="C65" s="73" t="s">
        <v>3035</v>
      </c>
      <c r="D65" s="77"/>
      <c r="E65" s="73" t="s">
        <v>3036</v>
      </c>
      <c r="F65" s="77">
        <v>44.0</v>
      </c>
      <c r="G65" s="73" t="s">
        <v>3026</v>
      </c>
    </row>
    <row r="66">
      <c r="A66" s="73" t="s">
        <v>352</v>
      </c>
      <c r="B66" s="77">
        <v>33.0</v>
      </c>
      <c r="C66" s="73" t="s">
        <v>3037</v>
      </c>
      <c r="D66" s="77"/>
      <c r="E66" s="73" t="s">
        <v>3038</v>
      </c>
      <c r="F66" s="77">
        <v>44.0</v>
      </c>
      <c r="G66" s="73" t="s">
        <v>3026</v>
      </c>
    </row>
    <row r="67">
      <c r="A67" s="73" t="s">
        <v>324</v>
      </c>
      <c r="B67" s="77">
        <v>29.0</v>
      </c>
      <c r="C67" s="73" t="s">
        <v>3039</v>
      </c>
      <c r="D67" s="77"/>
      <c r="E67" s="73" t="s">
        <v>3040</v>
      </c>
      <c r="F67" s="77">
        <v>43.0</v>
      </c>
      <c r="G67" s="73" t="s">
        <v>3041</v>
      </c>
    </row>
    <row r="68">
      <c r="A68" s="73" t="s">
        <v>45</v>
      </c>
      <c r="B68" s="77">
        <v>23.0</v>
      </c>
      <c r="C68" s="83">
        <v>0.02</v>
      </c>
      <c r="D68" s="77"/>
      <c r="E68" s="73" t="s">
        <v>3042</v>
      </c>
      <c r="F68" s="77">
        <v>42.0</v>
      </c>
      <c r="G68" s="73" t="s">
        <v>3043</v>
      </c>
    </row>
    <row r="69">
      <c r="A69" s="73" t="s">
        <v>3044</v>
      </c>
      <c r="B69" s="77">
        <v>23.0</v>
      </c>
      <c r="C69" s="83">
        <v>0.02</v>
      </c>
      <c r="D69" s="77"/>
      <c r="E69" s="73" t="s">
        <v>3045</v>
      </c>
      <c r="F69" s="77">
        <v>42.0</v>
      </c>
      <c r="G69" s="73" t="s">
        <v>3043</v>
      </c>
    </row>
    <row r="70">
      <c r="A70" s="73" t="s">
        <v>78</v>
      </c>
      <c r="B70" s="77">
        <v>20.0</v>
      </c>
      <c r="C70" s="73" t="s">
        <v>3046</v>
      </c>
      <c r="D70" s="77"/>
      <c r="E70" s="73" t="s">
        <v>3047</v>
      </c>
      <c r="F70" s="77">
        <v>41.0</v>
      </c>
      <c r="G70" s="73" t="s">
        <v>3028</v>
      </c>
    </row>
    <row r="71">
      <c r="A71" s="73" t="s">
        <v>81</v>
      </c>
      <c r="B71" s="77">
        <v>18.0</v>
      </c>
      <c r="C71" s="73" t="s">
        <v>3048</v>
      </c>
      <c r="D71" s="77"/>
      <c r="E71" s="73" t="s">
        <v>3049</v>
      </c>
      <c r="F71" s="77">
        <v>41.0</v>
      </c>
      <c r="G71" s="73" t="s">
        <v>3028</v>
      </c>
    </row>
    <row r="72">
      <c r="A72" s="73" t="s">
        <v>34</v>
      </c>
      <c r="B72" s="77">
        <v>17.0</v>
      </c>
      <c r="C72" s="73" t="s">
        <v>3048</v>
      </c>
      <c r="D72" s="77"/>
      <c r="E72" s="73" t="s">
        <v>3050</v>
      </c>
      <c r="F72" s="77">
        <v>41.0</v>
      </c>
      <c r="G72" s="73" t="s">
        <v>3028</v>
      </c>
    </row>
    <row r="73">
      <c r="A73" s="73" t="s">
        <v>75</v>
      </c>
      <c r="B73" s="77">
        <v>17.0</v>
      </c>
      <c r="C73" s="73" t="s">
        <v>3048</v>
      </c>
      <c r="D73" s="77"/>
      <c r="E73" s="73" t="s">
        <v>3051</v>
      </c>
      <c r="F73" s="77">
        <v>41.0</v>
      </c>
      <c r="G73" s="73" t="s">
        <v>3028</v>
      </c>
    </row>
    <row r="74">
      <c r="A74" s="73" t="s">
        <v>48</v>
      </c>
      <c r="B74" s="77">
        <v>16.0</v>
      </c>
      <c r="C74" s="73" t="s">
        <v>3052</v>
      </c>
      <c r="D74" s="77"/>
      <c r="E74" s="73" t="s">
        <v>3053</v>
      </c>
      <c r="F74" s="77">
        <v>41.0</v>
      </c>
      <c r="G74" s="73" t="s">
        <v>3028</v>
      </c>
    </row>
    <row r="75">
      <c r="A75" s="73" t="s">
        <v>365</v>
      </c>
      <c r="B75" s="77">
        <v>15.0</v>
      </c>
      <c r="C75" s="73" t="s">
        <v>3054</v>
      </c>
      <c r="D75" s="77"/>
      <c r="E75" s="73" t="s">
        <v>3055</v>
      </c>
      <c r="F75" s="77">
        <v>40.0</v>
      </c>
      <c r="G75" s="73" t="s">
        <v>3031</v>
      </c>
    </row>
    <row r="76">
      <c r="A76" s="73" t="s">
        <v>129</v>
      </c>
      <c r="B76" s="77">
        <v>14.0</v>
      </c>
      <c r="C76" s="73" t="s">
        <v>3056</v>
      </c>
      <c r="D76" s="77"/>
      <c r="E76" s="73" t="s">
        <v>3057</v>
      </c>
      <c r="F76" s="77">
        <v>40.0</v>
      </c>
      <c r="G76" s="73" t="s">
        <v>3031</v>
      </c>
    </row>
    <row r="77">
      <c r="A77" s="73" t="s">
        <v>111</v>
      </c>
      <c r="B77" s="77">
        <v>13.0</v>
      </c>
      <c r="C77" s="73" t="s">
        <v>3058</v>
      </c>
      <c r="D77" s="77"/>
      <c r="E77" s="73" t="s">
        <v>3059</v>
      </c>
      <c r="F77" s="77">
        <v>39.0</v>
      </c>
      <c r="G77" s="73" t="s">
        <v>3031</v>
      </c>
    </row>
    <row r="78">
      <c r="A78" s="73" t="s">
        <v>3060</v>
      </c>
      <c r="B78" s="77">
        <v>13.0</v>
      </c>
      <c r="C78" s="73" t="s">
        <v>3058</v>
      </c>
      <c r="D78" s="77"/>
      <c r="E78" s="73" t="s">
        <v>3061</v>
      </c>
      <c r="F78" s="77">
        <v>39.0</v>
      </c>
      <c r="G78" s="73" t="s">
        <v>3031</v>
      </c>
    </row>
    <row r="79">
      <c r="A79" s="73" t="s">
        <v>132</v>
      </c>
      <c r="B79" s="77">
        <v>9.0</v>
      </c>
      <c r="C79" s="73" t="s">
        <v>3062</v>
      </c>
      <c r="D79" s="77"/>
      <c r="E79" s="73" t="s">
        <v>3063</v>
      </c>
      <c r="F79" s="77">
        <v>39.0</v>
      </c>
      <c r="G79" s="73" t="s">
        <v>3031</v>
      </c>
    </row>
    <row r="80">
      <c r="A80" s="73" t="s">
        <v>109</v>
      </c>
      <c r="B80" s="77">
        <v>8.0</v>
      </c>
      <c r="C80" s="73" t="s">
        <v>3064</v>
      </c>
      <c r="D80" s="77"/>
      <c r="E80" s="73" t="s">
        <v>3065</v>
      </c>
      <c r="F80" s="77">
        <v>39.0</v>
      </c>
      <c r="G80" s="73" t="s">
        <v>3031</v>
      </c>
    </row>
    <row r="81">
      <c r="A81" s="73" t="s">
        <v>127</v>
      </c>
      <c r="B81" s="73">
        <v>7.0</v>
      </c>
      <c r="C81" s="73" t="s">
        <v>3066</v>
      </c>
      <c r="D81" s="73"/>
      <c r="E81" s="73" t="s">
        <v>3067</v>
      </c>
      <c r="F81" s="73">
        <v>39.0</v>
      </c>
      <c r="G81" s="73" t="s">
        <v>3031</v>
      </c>
    </row>
    <row r="82">
      <c r="A82" s="73" t="s">
        <v>134</v>
      </c>
      <c r="B82" s="77">
        <v>7.0</v>
      </c>
      <c r="C82" s="73" t="s">
        <v>3066</v>
      </c>
      <c r="D82" s="77"/>
      <c r="E82" s="73" t="s">
        <v>3068</v>
      </c>
      <c r="F82" s="77">
        <v>38.0</v>
      </c>
      <c r="G82" s="73" t="s">
        <v>3033</v>
      </c>
    </row>
    <row r="83">
      <c r="A83" s="73" t="s">
        <v>107</v>
      </c>
      <c r="B83" s="73">
        <v>6.0</v>
      </c>
      <c r="C83" s="73" t="s">
        <v>3069</v>
      </c>
      <c r="D83" s="73"/>
      <c r="E83" s="73" t="s">
        <v>3070</v>
      </c>
      <c r="F83" s="73">
        <v>38.0</v>
      </c>
      <c r="G83" s="73" t="s">
        <v>3033</v>
      </c>
    </row>
    <row r="84">
      <c r="A84" s="73" t="s">
        <v>3071</v>
      </c>
      <c r="B84" s="77">
        <v>5.0</v>
      </c>
      <c r="C84" s="73" t="s">
        <v>3072</v>
      </c>
      <c r="D84" s="74"/>
      <c r="E84" s="73" t="s">
        <v>3073</v>
      </c>
      <c r="F84" s="77">
        <v>38.0</v>
      </c>
      <c r="G84" s="73" t="s">
        <v>3033</v>
      </c>
    </row>
    <row r="85">
      <c r="A85" s="73" t="s">
        <v>3074</v>
      </c>
      <c r="B85" s="73">
        <v>4.0</v>
      </c>
      <c r="C85" s="73" t="s">
        <v>3075</v>
      </c>
      <c r="D85" s="74"/>
      <c r="E85" s="73" t="s">
        <v>3076</v>
      </c>
      <c r="F85" s="73">
        <v>37.0</v>
      </c>
      <c r="G85" s="73" t="s">
        <v>3035</v>
      </c>
    </row>
    <row r="86">
      <c r="A86" s="73" t="s">
        <v>104</v>
      </c>
      <c r="B86" s="77">
        <v>2.0</v>
      </c>
      <c r="C86" s="73" t="s">
        <v>3077</v>
      </c>
      <c r="D86" s="74"/>
      <c r="E86" s="73" t="s">
        <v>3078</v>
      </c>
      <c r="F86" s="77">
        <v>35.0</v>
      </c>
      <c r="G86" s="83">
        <v>0.03</v>
      </c>
    </row>
    <row r="87">
      <c r="A87" s="73"/>
      <c r="B87" s="73"/>
      <c r="C87" s="83">
        <v>0.0</v>
      </c>
      <c r="D87" s="74"/>
      <c r="E87" s="73" t="s">
        <v>3079</v>
      </c>
      <c r="F87" s="73">
        <v>35.0</v>
      </c>
      <c r="G87" s="83">
        <v>0.03</v>
      </c>
    </row>
    <row r="88">
      <c r="A88" s="73"/>
      <c r="B88" s="77"/>
      <c r="C88" s="83">
        <v>0.0</v>
      </c>
      <c r="D88" s="74"/>
      <c r="E88" s="73" t="s">
        <v>3080</v>
      </c>
      <c r="F88" s="77">
        <v>35.0</v>
      </c>
      <c r="G88" s="83">
        <v>0.03</v>
      </c>
    </row>
    <row r="89">
      <c r="A89" s="73"/>
      <c r="B89" s="73"/>
      <c r="C89" s="83">
        <v>0.0</v>
      </c>
      <c r="D89" s="73"/>
      <c r="E89" s="73" t="s">
        <v>3081</v>
      </c>
      <c r="F89" s="73">
        <v>35.0</v>
      </c>
      <c r="G89" s="83">
        <v>0.03</v>
      </c>
    </row>
    <row r="90">
      <c r="A90" s="73"/>
      <c r="B90" s="77"/>
      <c r="C90" s="83">
        <v>0.0</v>
      </c>
      <c r="D90" s="77"/>
      <c r="E90" s="73" t="s">
        <v>3082</v>
      </c>
      <c r="F90" s="77">
        <v>33.0</v>
      </c>
      <c r="G90" s="73" t="s">
        <v>3037</v>
      </c>
    </row>
    <row r="91">
      <c r="A91" s="73"/>
      <c r="B91" s="77"/>
      <c r="C91" s="83">
        <v>0.0</v>
      </c>
      <c r="D91" s="77"/>
      <c r="E91" s="73" t="s">
        <v>3083</v>
      </c>
      <c r="F91" s="77">
        <v>33.0</v>
      </c>
      <c r="G91" s="73" t="s">
        <v>3037</v>
      </c>
    </row>
    <row r="92">
      <c r="A92" s="73"/>
      <c r="B92" s="77"/>
      <c r="C92" s="83">
        <v>0.0</v>
      </c>
      <c r="D92" s="77"/>
      <c r="E92" s="73" t="s">
        <v>3084</v>
      </c>
      <c r="F92" s="77">
        <v>32.0</v>
      </c>
      <c r="G92" s="73" t="s">
        <v>3037</v>
      </c>
    </row>
    <row r="93">
      <c r="A93" s="73"/>
      <c r="B93" s="77"/>
      <c r="C93" s="83">
        <v>0.0</v>
      </c>
      <c r="D93" s="77"/>
      <c r="E93" s="73" t="s">
        <v>3085</v>
      </c>
      <c r="F93" s="77">
        <v>32.0</v>
      </c>
      <c r="G93" s="73" t="s">
        <v>3037</v>
      </c>
    </row>
    <row r="94">
      <c r="A94" s="73"/>
      <c r="B94" s="73"/>
      <c r="C94" s="83">
        <v>0.0</v>
      </c>
      <c r="D94" s="73"/>
      <c r="E94" s="73" t="s">
        <v>3086</v>
      </c>
      <c r="F94" s="73">
        <v>30.0</v>
      </c>
      <c r="G94" s="73" t="s">
        <v>3087</v>
      </c>
    </row>
    <row r="95">
      <c r="A95" s="73"/>
      <c r="B95" s="77"/>
      <c r="C95" s="83">
        <v>0.0</v>
      </c>
      <c r="D95" s="81"/>
      <c r="E95" s="73" t="s">
        <v>3088</v>
      </c>
      <c r="F95" s="73">
        <v>30.0</v>
      </c>
      <c r="G95" s="73" t="s">
        <v>3087</v>
      </c>
    </row>
    <row r="96">
      <c r="A96" s="73"/>
      <c r="B96" s="73"/>
      <c r="C96" s="73"/>
      <c r="D96" s="73"/>
      <c r="E96" s="73"/>
      <c r="F96" s="73"/>
      <c r="G96" s="73"/>
    </row>
    <row r="97">
      <c r="A97" s="73" t="s">
        <v>3089</v>
      </c>
      <c r="B97" s="73" t="s">
        <v>3090</v>
      </c>
      <c r="C97" s="73" t="s">
        <v>3091</v>
      </c>
      <c r="D97" s="73" t="s">
        <v>3092</v>
      </c>
      <c r="E97" s="73" t="s">
        <v>3093</v>
      </c>
      <c r="F97" s="73" t="s">
        <v>3094</v>
      </c>
      <c r="G97" s="73"/>
    </row>
    <row r="98">
      <c r="A98" s="73" t="s">
        <v>3095</v>
      </c>
      <c r="B98" s="77">
        <v>8.0</v>
      </c>
      <c r="C98" s="77">
        <v>8.0</v>
      </c>
      <c r="D98" s="73" t="s">
        <v>3096</v>
      </c>
      <c r="E98" s="83">
        <v>0.17</v>
      </c>
      <c r="F98" s="73" t="s">
        <v>3097</v>
      </c>
      <c r="G98" s="73"/>
    </row>
    <row r="99">
      <c r="A99" s="73" t="s">
        <v>3098</v>
      </c>
      <c r="B99" s="77">
        <v>8.0</v>
      </c>
      <c r="C99" s="77">
        <v>4.0</v>
      </c>
      <c r="D99" s="83">
        <v>0.2</v>
      </c>
      <c r="E99" s="73" t="s">
        <v>3099</v>
      </c>
      <c r="F99" s="73" t="s">
        <v>3100</v>
      </c>
      <c r="G99" s="73"/>
    </row>
    <row r="100">
      <c r="A100" s="73" t="s">
        <v>3101</v>
      </c>
      <c r="B100" s="73">
        <v>7.0</v>
      </c>
      <c r="C100" s="73">
        <v>7.0</v>
      </c>
      <c r="D100" s="73" t="s">
        <v>3102</v>
      </c>
      <c r="E100" s="73" t="s">
        <v>3103</v>
      </c>
      <c r="F100" s="73" t="s">
        <v>3104</v>
      </c>
      <c r="G100" s="73"/>
    </row>
    <row r="101">
      <c r="A101" s="73" t="s">
        <v>3105</v>
      </c>
      <c r="B101" s="77">
        <v>7.0</v>
      </c>
      <c r="C101" s="77">
        <v>7.0</v>
      </c>
      <c r="D101" s="81">
        <v>1.0</v>
      </c>
      <c r="E101" s="83">
        <v>0.5</v>
      </c>
      <c r="F101" s="73" t="s">
        <v>3106</v>
      </c>
      <c r="G101" s="73"/>
    </row>
    <row r="102">
      <c r="A102" s="73" t="s">
        <v>3107</v>
      </c>
      <c r="B102" s="77">
        <v>7.0</v>
      </c>
      <c r="C102" s="77">
        <v>7.0</v>
      </c>
      <c r="D102" s="73" t="s">
        <v>3102</v>
      </c>
      <c r="E102" s="73" t="s">
        <v>3108</v>
      </c>
      <c r="F102" s="73" t="s">
        <v>3109</v>
      </c>
      <c r="G102" s="73"/>
    </row>
    <row r="103">
      <c r="A103" s="73" t="s">
        <v>3110</v>
      </c>
      <c r="B103" s="77">
        <v>6.0</v>
      </c>
      <c r="C103" s="77">
        <v>6.0</v>
      </c>
      <c r="D103" s="73" t="s">
        <v>3111</v>
      </c>
      <c r="E103" s="73" t="s">
        <v>3112</v>
      </c>
      <c r="F103" s="73" t="s">
        <v>3113</v>
      </c>
      <c r="G103" s="73"/>
    </row>
    <row r="104">
      <c r="A104" s="73" t="s">
        <v>3114</v>
      </c>
      <c r="B104" s="77">
        <v>5.0</v>
      </c>
      <c r="C104" s="77">
        <v>5.0</v>
      </c>
      <c r="D104" s="73" t="s">
        <v>3115</v>
      </c>
      <c r="E104" s="73" t="s">
        <v>3111</v>
      </c>
      <c r="F104" s="73" t="s">
        <v>3116</v>
      </c>
      <c r="G104" s="73"/>
    </row>
    <row r="105">
      <c r="A105" s="73" t="s">
        <v>3117</v>
      </c>
      <c r="B105" s="77">
        <v>5.0</v>
      </c>
      <c r="C105" s="77">
        <v>5.0</v>
      </c>
      <c r="D105" s="73" t="s">
        <v>3118</v>
      </c>
      <c r="E105" s="73" t="s">
        <v>3119</v>
      </c>
      <c r="F105" s="73" t="s">
        <v>3120</v>
      </c>
      <c r="G105" s="73"/>
    </row>
    <row r="106">
      <c r="A106" s="73" t="s">
        <v>3121</v>
      </c>
      <c r="B106" s="77">
        <v>4.0</v>
      </c>
      <c r="C106" s="77">
        <v>4.0</v>
      </c>
      <c r="D106" s="73" t="s">
        <v>3122</v>
      </c>
      <c r="E106" s="73" t="s">
        <v>2971</v>
      </c>
      <c r="F106" s="73" t="s">
        <v>3123</v>
      </c>
      <c r="G106" s="73"/>
    </row>
    <row r="107">
      <c r="A107" s="73" t="s">
        <v>3124</v>
      </c>
      <c r="B107" s="73">
        <v>4.0</v>
      </c>
      <c r="C107" s="73">
        <v>4.0</v>
      </c>
      <c r="D107" s="73" t="s">
        <v>3125</v>
      </c>
      <c r="E107" s="73" t="s">
        <v>2991</v>
      </c>
      <c r="F107" s="73" t="s">
        <v>3126</v>
      </c>
      <c r="G107" s="73"/>
    </row>
    <row r="108">
      <c r="A108" s="73" t="s">
        <v>3127</v>
      </c>
      <c r="B108" s="77">
        <v>3.0</v>
      </c>
      <c r="C108" s="77">
        <v>3.0</v>
      </c>
      <c r="D108" s="83">
        <v>0.13</v>
      </c>
      <c r="E108" s="83">
        <v>0.6</v>
      </c>
      <c r="F108" s="73" t="s">
        <v>3128</v>
      </c>
      <c r="G108" s="73"/>
    </row>
    <row r="109">
      <c r="A109" s="73" t="s">
        <v>3129</v>
      </c>
      <c r="B109" s="77">
        <v>3.0</v>
      </c>
      <c r="C109" s="77">
        <v>3.0</v>
      </c>
      <c r="D109" s="83">
        <v>0.5</v>
      </c>
      <c r="E109" s="73" t="s">
        <v>3130</v>
      </c>
      <c r="F109" s="73" t="s">
        <v>3131</v>
      </c>
      <c r="G109" s="73"/>
    </row>
    <row r="110">
      <c r="A110" s="73" t="s">
        <v>3132</v>
      </c>
      <c r="B110" s="77">
        <v>3.0</v>
      </c>
      <c r="C110" s="77">
        <v>3.0</v>
      </c>
      <c r="D110" s="73" t="s">
        <v>2989</v>
      </c>
      <c r="E110" s="73" t="s">
        <v>3133</v>
      </c>
      <c r="F110" s="73" t="s">
        <v>3134</v>
      </c>
      <c r="G110" s="73"/>
    </row>
    <row r="111">
      <c r="A111" s="73" t="s">
        <v>3135</v>
      </c>
      <c r="B111" s="77">
        <v>2.0</v>
      </c>
      <c r="C111" s="77">
        <v>2.0</v>
      </c>
      <c r="D111" s="73" t="s">
        <v>3000</v>
      </c>
      <c r="E111" s="73" t="s">
        <v>3136</v>
      </c>
      <c r="F111" s="73" t="s">
        <v>3113</v>
      </c>
      <c r="G111" s="74"/>
    </row>
    <row r="112">
      <c r="A112" s="73" t="s">
        <v>3137</v>
      </c>
      <c r="B112" s="77">
        <v>2.0</v>
      </c>
      <c r="C112" s="77">
        <v>2.0</v>
      </c>
      <c r="D112" s="73" t="s">
        <v>2970</v>
      </c>
      <c r="E112" s="83">
        <v>0.05</v>
      </c>
      <c r="F112" s="73" t="s">
        <v>3138</v>
      </c>
      <c r="G112" s="74"/>
    </row>
    <row r="113">
      <c r="A113" s="73" t="s">
        <v>3139</v>
      </c>
      <c r="B113" s="77">
        <v>2.0</v>
      </c>
      <c r="C113" s="77">
        <v>2.0</v>
      </c>
      <c r="D113" s="73" t="s">
        <v>3011</v>
      </c>
      <c r="E113" s="73" t="s">
        <v>3026</v>
      </c>
      <c r="F113" s="73" t="s">
        <v>3140</v>
      </c>
      <c r="G113" s="74"/>
    </row>
    <row r="114">
      <c r="A114" s="73" t="s">
        <v>3141</v>
      </c>
      <c r="B114" s="77">
        <v>1.0</v>
      </c>
      <c r="C114" s="77">
        <v>1.0</v>
      </c>
      <c r="D114" s="73" t="s">
        <v>3142</v>
      </c>
      <c r="E114" s="73" t="s">
        <v>3142</v>
      </c>
      <c r="F114" s="73" t="s">
        <v>3143</v>
      </c>
      <c r="G114" s="74"/>
    </row>
    <row r="115">
      <c r="A115" s="73" t="s">
        <v>3144</v>
      </c>
      <c r="B115" s="73">
        <v>1.0</v>
      </c>
      <c r="C115" s="77">
        <v>1.0</v>
      </c>
      <c r="D115" s="73" t="s">
        <v>3145</v>
      </c>
      <c r="E115" s="73" t="s">
        <v>3146</v>
      </c>
      <c r="F115" s="73" t="s">
        <v>3147</v>
      </c>
      <c r="G115" s="74"/>
    </row>
    <row r="116">
      <c r="A116" s="73" t="s">
        <v>3148</v>
      </c>
      <c r="B116" s="76">
        <v>1.0</v>
      </c>
      <c r="C116" s="73">
        <v>1.0</v>
      </c>
      <c r="D116" s="73" t="s">
        <v>3146</v>
      </c>
      <c r="E116" s="73" t="s">
        <v>3149</v>
      </c>
      <c r="F116" s="73" t="s">
        <v>3113</v>
      </c>
      <c r="G116" s="74"/>
    </row>
    <row r="117">
      <c r="A117" s="73" t="s">
        <v>3150</v>
      </c>
      <c r="B117" s="77">
        <v>1.0</v>
      </c>
      <c r="C117" s="73">
        <v>1.0</v>
      </c>
      <c r="D117" s="73" t="s">
        <v>3146</v>
      </c>
      <c r="E117" s="83">
        <v>0.2</v>
      </c>
      <c r="F117" s="73" t="s">
        <v>3151</v>
      </c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 t="s">
        <v>3152</v>
      </c>
      <c r="B119" s="73" t="s">
        <v>3090</v>
      </c>
      <c r="C119" s="73" t="s">
        <v>3153</v>
      </c>
      <c r="D119" s="73" t="s">
        <v>3092</v>
      </c>
      <c r="E119" s="73" t="s">
        <v>3093</v>
      </c>
      <c r="F119" s="73" t="s">
        <v>3094</v>
      </c>
      <c r="G119" s="74"/>
    </row>
    <row r="120">
      <c r="A120" s="73" t="s">
        <v>3154</v>
      </c>
      <c r="B120" s="73">
        <v>8.0</v>
      </c>
      <c r="C120" s="73">
        <v>8.0</v>
      </c>
      <c r="D120" s="73" t="s">
        <v>3096</v>
      </c>
      <c r="E120" s="83">
        <v>0.17</v>
      </c>
      <c r="F120" s="73" t="s">
        <v>3097</v>
      </c>
      <c r="G120" s="73"/>
    </row>
    <row r="121">
      <c r="A121" s="73" t="s">
        <v>3155</v>
      </c>
      <c r="B121" s="77">
        <v>8.0</v>
      </c>
      <c r="C121" s="77">
        <v>4.0</v>
      </c>
      <c r="D121" s="83">
        <v>0.2</v>
      </c>
      <c r="E121" s="73" t="s">
        <v>3099</v>
      </c>
      <c r="F121" s="73" t="s">
        <v>3100</v>
      </c>
      <c r="G121" s="83"/>
    </row>
    <row r="122">
      <c r="A122" s="73" t="s">
        <v>3156</v>
      </c>
      <c r="B122" s="73">
        <v>7.0</v>
      </c>
      <c r="C122" s="73">
        <v>7.0</v>
      </c>
      <c r="D122" s="73" t="s">
        <v>3102</v>
      </c>
      <c r="E122" s="73" t="s">
        <v>3103</v>
      </c>
      <c r="F122" s="73" t="s">
        <v>3104</v>
      </c>
      <c r="G122" s="74"/>
    </row>
    <row r="123">
      <c r="A123" s="73" t="s">
        <v>3157</v>
      </c>
      <c r="B123" s="73">
        <v>7.0</v>
      </c>
      <c r="C123" s="73">
        <v>12.0</v>
      </c>
      <c r="D123" s="73" t="s">
        <v>2970</v>
      </c>
      <c r="E123" s="83">
        <v>0.1</v>
      </c>
      <c r="F123" s="73" t="s">
        <v>3113</v>
      </c>
      <c r="G123" s="73"/>
    </row>
    <row r="124">
      <c r="A124" s="73" t="s">
        <v>3158</v>
      </c>
      <c r="B124" s="77">
        <v>7.0</v>
      </c>
      <c r="C124" s="73">
        <v>7.0</v>
      </c>
      <c r="D124" s="83">
        <v>1.0</v>
      </c>
      <c r="E124" s="83">
        <v>0.5</v>
      </c>
      <c r="F124" s="73" t="s">
        <v>3106</v>
      </c>
      <c r="G124" s="73"/>
    </row>
    <row r="125">
      <c r="A125" s="73" t="s">
        <v>3159</v>
      </c>
      <c r="B125" s="77">
        <v>7.0</v>
      </c>
      <c r="C125" s="73">
        <v>7.0</v>
      </c>
      <c r="D125" s="73" t="s">
        <v>3102</v>
      </c>
      <c r="E125" s="73" t="s">
        <v>3108</v>
      </c>
      <c r="F125" s="73" t="s">
        <v>3109</v>
      </c>
      <c r="G125" s="73"/>
    </row>
    <row r="126">
      <c r="A126" s="73" t="s">
        <v>3160</v>
      </c>
      <c r="B126" s="77">
        <v>5.0</v>
      </c>
      <c r="C126" s="73">
        <v>19.0</v>
      </c>
      <c r="D126" s="73" t="s">
        <v>3115</v>
      </c>
      <c r="E126" s="73" t="s">
        <v>3161</v>
      </c>
      <c r="F126" s="73" t="s">
        <v>3116</v>
      </c>
      <c r="G126" s="73"/>
    </row>
    <row r="127">
      <c r="A127" s="73" t="s">
        <v>3162</v>
      </c>
      <c r="B127" s="77">
        <v>5.0</v>
      </c>
      <c r="C127" s="73">
        <v>5.0</v>
      </c>
      <c r="D127" s="73" t="s">
        <v>3118</v>
      </c>
      <c r="E127" s="73" t="s">
        <v>3119</v>
      </c>
      <c r="F127" s="73" t="s">
        <v>3120</v>
      </c>
      <c r="G127" s="73"/>
    </row>
    <row r="128">
      <c r="A128" s="73" t="s">
        <v>3163</v>
      </c>
      <c r="B128" s="77">
        <v>5.0</v>
      </c>
      <c r="C128" s="73">
        <v>5.0</v>
      </c>
      <c r="D128" s="73" t="s">
        <v>3164</v>
      </c>
      <c r="E128" s="73" t="s">
        <v>3165</v>
      </c>
      <c r="F128" s="73" t="s">
        <v>3166</v>
      </c>
      <c r="G128" s="73"/>
    </row>
    <row r="129">
      <c r="A129" s="73" t="s">
        <v>3167</v>
      </c>
      <c r="B129" s="77">
        <v>4.0</v>
      </c>
      <c r="C129" s="73">
        <v>21.0</v>
      </c>
      <c r="D129" s="73" t="s">
        <v>3122</v>
      </c>
      <c r="E129" s="73" t="s">
        <v>3136</v>
      </c>
      <c r="F129" s="73" t="s">
        <v>3123</v>
      </c>
      <c r="G129" s="83"/>
    </row>
    <row r="130">
      <c r="A130" s="73" t="s">
        <v>3168</v>
      </c>
      <c r="B130" s="77">
        <v>4.0</v>
      </c>
      <c r="C130" s="73">
        <v>4.0</v>
      </c>
      <c r="D130" s="73" t="s">
        <v>3125</v>
      </c>
      <c r="E130" s="73" t="s">
        <v>2991</v>
      </c>
      <c r="F130" s="73" t="s">
        <v>3126</v>
      </c>
      <c r="G130" s="83"/>
    </row>
    <row r="131">
      <c r="A131" s="73" t="s">
        <v>3169</v>
      </c>
      <c r="B131" s="77">
        <v>3.0</v>
      </c>
      <c r="C131" s="73">
        <v>3.0</v>
      </c>
      <c r="D131" s="83">
        <v>0.13</v>
      </c>
      <c r="E131" s="83">
        <v>0.6</v>
      </c>
      <c r="F131" s="73" t="s">
        <v>3128</v>
      </c>
      <c r="G131" s="73"/>
    </row>
    <row r="132">
      <c r="A132" s="73" t="s">
        <v>3170</v>
      </c>
      <c r="B132" s="73">
        <v>3.0</v>
      </c>
      <c r="C132" s="73">
        <v>3.0</v>
      </c>
      <c r="D132" s="83">
        <v>0.5</v>
      </c>
      <c r="E132" s="73" t="s">
        <v>3130</v>
      </c>
      <c r="F132" s="73" t="s">
        <v>3131</v>
      </c>
      <c r="G132" s="73"/>
    </row>
    <row r="133">
      <c r="A133" s="73" t="s">
        <v>3171</v>
      </c>
      <c r="B133" s="73">
        <v>2.0</v>
      </c>
      <c r="C133" s="73">
        <v>14.0</v>
      </c>
      <c r="D133" s="73" t="s">
        <v>3052</v>
      </c>
      <c r="E133" s="73" t="s">
        <v>3149</v>
      </c>
      <c r="F133" s="73" t="s">
        <v>3113</v>
      </c>
      <c r="G133" s="73"/>
    </row>
    <row r="134">
      <c r="A134" s="73" t="s">
        <v>3172</v>
      </c>
      <c r="B134" s="77">
        <v>2.0</v>
      </c>
      <c r="C134" s="73">
        <v>5.0</v>
      </c>
      <c r="D134" s="83">
        <v>0.02</v>
      </c>
      <c r="E134" s="73" t="s">
        <v>3026</v>
      </c>
      <c r="F134" s="73" t="s">
        <v>3140</v>
      </c>
      <c r="G134" s="73"/>
    </row>
    <row r="135">
      <c r="A135" s="73" t="s">
        <v>3173</v>
      </c>
      <c r="B135" s="73">
        <v>1.0</v>
      </c>
      <c r="C135" s="83">
        <v>1.0</v>
      </c>
      <c r="D135" s="73" t="s">
        <v>3058</v>
      </c>
      <c r="E135" s="73" t="s">
        <v>3142</v>
      </c>
      <c r="F135" s="73" t="s">
        <v>3143</v>
      </c>
      <c r="G135" s="73"/>
    </row>
    <row r="136">
      <c r="A136" s="73" t="s">
        <v>3174</v>
      </c>
      <c r="B136" s="77">
        <v>1.0</v>
      </c>
      <c r="C136" s="73">
        <v>55.0</v>
      </c>
      <c r="D136" s="73" t="s">
        <v>3066</v>
      </c>
      <c r="E136" s="73" t="s">
        <v>3062</v>
      </c>
      <c r="F136" s="73" t="s">
        <v>3147</v>
      </c>
      <c r="G136" s="73"/>
    </row>
    <row r="137">
      <c r="A137" s="73" t="s">
        <v>3175</v>
      </c>
      <c r="B137" s="77">
        <v>1.0</v>
      </c>
      <c r="C137" s="73">
        <v>1.0</v>
      </c>
      <c r="D137" s="73" t="s">
        <v>3062</v>
      </c>
      <c r="E137" s="83">
        <v>0.2</v>
      </c>
      <c r="F137" s="73" t="s">
        <v>3151</v>
      </c>
      <c r="G137" s="73"/>
    </row>
    <row r="138">
      <c r="A138" s="73" t="s">
        <v>3176</v>
      </c>
      <c r="B138" s="77">
        <v>1.0</v>
      </c>
      <c r="C138" s="73">
        <v>1.0</v>
      </c>
      <c r="D138" s="73" t="s">
        <v>3115</v>
      </c>
      <c r="E138" s="73" t="s">
        <v>3000</v>
      </c>
      <c r="F138" s="73" t="s">
        <v>3140</v>
      </c>
      <c r="G138" s="73"/>
    </row>
    <row r="139">
      <c r="A139" s="73" t="s">
        <v>3177</v>
      </c>
      <c r="B139" s="77">
        <v>1.0</v>
      </c>
      <c r="C139" s="73">
        <v>1.0</v>
      </c>
      <c r="D139" s="73" t="s">
        <v>3178</v>
      </c>
      <c r="E139" s="73" t="s">
        <v>3179</v>
      </c>
      <c r="F139" s="73" t="s">
        <v>3131</v>
      </c>
      <c r="G139" s="73"/>
    </row>
    <row r="140">
      <c r="A140" s="73"/>
      <c r="B140" s="73"/>
      <c r="C140" s="73"/>
      <c r="D140" s="73"/>
      <c r="E140" s="73"/>
      <c r="F140" s="73"/>
      <c r="G140" s="73"/>
    </row>
    <row r="141">
      <c r="A141" s="73" t="s">
        <v>3180</v>
      </c>
      <c r="B141" s="73" t="s">
        <v>3181</v>
      </c>
      <c r="C141" s="73"/>
      <c r="D141" s="73"/>
      <c r="E141" s="73" t="s">
        <v>3182</v>
      </c>
      <c r="F141" s="73" t="s">
        <v>2908</v>
      </c>
      <c r="G141" s="73"/>
    </row>
    <row r="142">
      <c r="A142" s="73" t="s">
        <v>2977</v>
      </c>
      <c r="B142" s="77">
        <v>447.0</v>
      </c>
      <c r="C142" s="83"/>
      <c r="D142" s="83"/>
      <c r="E142" s="73" t="s">
        <v>205</v>
      </c>
      <c r="F142" s="73">
        <v>9.0</v>
      </c>
      <c r="G142" s="73"/>
    </row>
    <row r="143">
      <c r="A143" s="73" t="s">
        <v>2975</v>
      </c>
      <c r="B143" s="77">
        <v>383.0</v>
      </c>
      <c r="C143" s="73"/>
      <c r="D143" s="74"/>
      <c r="E143" s="73" t="s">
        <v>111</v>
      </c>
      <c r="F143" s="77">
        <v>6.5</v>
      </c>
      <c r="G143" s="73"/>
    </row>
    <row r="144">
      <c r="A144" s="73" t="s">
        <v>187</v>
      </c>
      <c r="B144" s="73">
        <v>367.0</v>
      </c>
      <c r="C144" s="73"/>
      <c r="D144" s="74"/>
      <c r="E144" s="73" t="s">
        <v>129</v>
      </c>
      <c r="F144" s="73">
        <v>6.0</v>
      </c>
      <c r="G144" s="73"/>
    </row>
    <row r="145">
      <c r="A145" s="73" t="s">
        <v>3008</v>
      </c>
      <c r="B145" s="77">
        <v>266.0</v>
      </c>
      <c r="C145" s="73"/>
      <c r="D145" s="74"/>
      <c r="E145" s="73" t="s">
        <v>365</v>
      </c>
      <c r="F145" s="77">
        <v>5.5</v>
      </c>
      <c r="G145" s="73"/>
    </row>
    <row r="146">
      <c r="A146" s="73" t="s">
        <v>414</v>
      </c>
      <c r="B146" s="77">
        <v>266.0</v>
      </c>
      <c r="C146" s="73"/>
      <c r="D146" s="74"/>
      <c r="E146" s="73" t="s">
        <v>3044</v>
      </c>
      <c r="F146" s="77">
        <v>5.0</v>
      </c>
      <c r="G146" s="73"/>
    </row>
    <row r="147">
      <c r="A147" s="73" t="s">
        <v>171</v>
      </c>
      <c r="B147" s="77">
        <v>256.0</v>
      </c>
      <c r="C147" s="73"/>
      <c r="D147" s="74"/>
      <c r="E147" s="73" t="s">
        <v>179</v>
      </c>
      <c r="F147" s="77">
        <v>4.0</v>
      </c>
      <c r="G147" s="73"/>
    </row>
    <row r="148">
      <c r="A148" s="73" t="s">
        <v>3017</v>
      </c>
      <c r="B148" s="77">
        <v>251.0</v>
      </c>
      <c r="C148" s="73"/>
      <c r="D148" s="74"/>
      <c r="E148" s="73" t="s">
        <v>207</v>
      </c>
      <c r="F148" s="77">
        <v>4.0</v>
      </c>
      <c r="G148" s="73"/>
    </row>
    <row r="149">
      <c r="A149" s="73" t="s">
        <v>169</v>
      </c>
      <c r="B149" s="73">
        <v>236.0</v>
      </c>
      <c r="C149" s="73"/>
      <c r="D149" s="73"/>
      <c r="E149" s="73" t="s">
        <v>78</v>
      </c>
      <c r="F149" s="73">
        <v>4.0</v>
      </c>
      <c r="G149" s="83"/>
    </row>
    <row r="150">
      <c r="A150" s="73" t="s">
        <v>165</v>
      </c>
      <c r="B150" s="73">
        <v>218.0</v>
      </c>
      <c r="C150" s="73"/>
      <c r="D150" s="77"/>
      <c r="E150" s="73" t="s">
        <v>45</v>
      </c>
      <c r="F150" s="73">
        <v>4.0</v>
      </c>
      <c r="G150" s="83"/>
    </row>
    <row r="151">
      <c r="A151" s="73" t="s">
        <v>167</v>
      </c>
      <c r="B151" s="77">
        <v>199.0</v>
      </c>
      <c r="C151" s="73"/>
      <c r="D151" s="77"/>
      <c r="E151" s="73" t="s">
        <v>165</v>
      </c>
      <c r="F151" s="77">
        <v>3.5</v>
      </c>
      <c r="G151" s="83"/>
    </row>
    <row r="152">
      <c r="A152" s="73" t="s">
        <v>3001</v>
      </c>
      <c r="B152" s="73">
        <v>187.0</v>
      </c>
      <c r="C152" s="73"/>
      <c r="D152" s="77"/>
      <c r="E152" s="73" t="s">
        <v>134</v>
      </c>
      <c r="F152" s="73">
        <v>3.5</v>
      </c>
      <c r="G152" s="83"/>
    </row>
    <row r="153">
      <c r="A153" s="73" t="s">
        <v>159</v>
      </c>
      <c r="B153" s="77">
        <v>169.0</v>
      </c>
      <c r="C153" s="73"/>
      <c r="D153" s="77"/>
      <c r="E153" s="73" t="s">
        <v>81</v>
      </c>
      <c r="F153" s="77">
        <v>3.5</v>
      </c>
      <c r="G153" s="83"/>
    </row>
    <row r="154">
      <c r="A154" s="73" t="s">
        <v>18</v>
      </c>
      <c r="B154" s="77">
        <v>152.0</v>
      </c>
      <c r="C154" s="83"/>
      <c r="D154" s="77"/>
      <c r="E154" s="73" t="s">
        <v>3030</v>
      </c>
      <c r="F154" s="77">
        <v>3.0</v>
      </c>
      <c r="G154" s="83"/>
    </row>
    <row r="155">
      <c r="A155" s="73" t="s">
        <v>3025</v>
      </c>
      <c r="B155" s="77">
        <v>143.0</v>
      </c>
      <c r="C155" s="83"/>
      <c r="D155" s="77"/>
      <c r="E155" s="73" t="s">
        <v>187</v>
      </c>
      <c r="F155" s="77">
        <v>2.5</v>
      </c>
      <c r="G155" s="83"/>
    </row>
    <row r="156">
      <c r="A156" s="73" t="s">
        <v>151</v>
      </c>
      <c r="B156" s="77">
        <v>139.0</v>
      </c>
      <c r="C156" s="83"/>
      <c r="D156" s="77"/>
      <c r="E156" s="73" t="s">
        <v>107</v>
      </c>
      <c r="F156" s="77">
        <v>2.5</v>
      </c>
      <c r="G156" s="83"/>
    </row>
    <row r="157">
      <c r="A157" s="73"/>
      <c r="B157" s="73"/>
      <c r="C157" s="83"/>
      <c r="D157" s="77"/>
      <c r="E157" s="73"/>
      <c r="F157" s="73"/>
      <c r="G157" s="83"/>
    </row>
    <row r="158">
      <c r="A158" s="73" t="s">
        <v>3183</v>
      </c>
      <c r="B158" s="73" t="s">
        <v>3181</v>
      </c>
      <c r="C158" s="73"/>
      <c r="D158" s="77"/>
      <c r="E158" s="73" t="s">
        <v>3184</v>
      </c>
      <c r="F158" s="73" t="s">
        <v>2908</v>
      </c>
      <c r="G158" s="83"/>
    </row>
    <row r="159">
      <c r="A159" s="73" t="s">
        <v>2954</v>
      </c>
      <c r="B159" s="77">
        <v>367.0</v>
      </c>
      <c r="C159" s="73"/>
      <c r="D159" s="77"/>
      <c r="E159" s="73" t="s">
        <v>3185</v>
      </c>
      <c r="F159" s="77">
        <v>6.5</v>
      </c>
      <c r="G159" s="73"/>
    </row>
    <row r="160">
      <c r="A160" s="73" t="s">
        <v>2982</v>
      </c>
      <c r="B160" s="77">
        <v>266.0</v>
      </c>
      <c r="C160" s="73"/>
      <c r="D160" s="77"/>
      <c r="E160" s="73" t="s">
        <v>3079</v>
      </c>
      <c r="F160" s="77">
        <v>6.0</v>
      </c>
      <c r="G160" s="73"/>
    </row>
    <row r="161">
      <c r="A161" s="73" t="s">
        <v>3020</v>
      </c>
      <c r="B161" s="73">
        <v>266.0</v>
      </c>
      <c r="C161" s="73"/>
      <c r="D161" s="77"/>
      <c r="E161" s="73" t="s">
        <v>3186</v>
      </c>
      <c r="F161" s="73">
        <v>6.0</v>
      </c>
      <c r="G161" s="73"/>
    </row>
    <row r="162">
      <c r="A162" s="73" t="s">
        <v>2999</v>
      </c>
      <c r="B162" s="77">
        <v>251.0</v>
      </c>
      <c r="C162" s="73"/>
      <c r="D162" s="77"/>
      <c r="E162" s="73" t="s">
        <v>3187</v>
      </c>
      <c r="F162" s="77">
        <v>5.5</v>
      </c>
      <c r="G162" s="73"/>
    </row>
    <row r="163">
      <c r="A163" s="73" t="s">
        <v>2963</v>
      </c>
      <c r="B163" s="77">
        <v>207.0</v>
      </c>
      <c r="C163" s="73"/>
      <c r="D163" s="77"/>
      <c r="E163" s="73" t="s">
        <v>3188</v>
      </c>
      <c r="F163" s="77">
        <v>5.0</v>
      </c>
      <c r="G163" s="73"/>
    </row>
    <row r="164">
      <c r="A164" s="73" t="s">
        <v>3050</v>
      </c>
      <c r="B164" s="77">
        <v>199.0</v>
      </c>
      <c r="C164" s="73"/>
      <c r="D164" s="77"/>
      <c r="E164" s="73" t="s">
        <v>2969</v>
      </c>
      <c r="F164" s="77">
        <v>4.0</v>
      </c>
      <c r="G164" s="73"/>
    </row>
    <row r="165">
      <c r="A165" s="73" t="s">
        <v>3051</v>
      </c>
      <c r="B165" s="77">
        <v>194.0</v>
      </c>
      <c r="C165" s="73"/>
      <c r="D165" s="77"/>
      <c r="E165" s="73" t="s">
        <v>3019</v>
      </c>
      <c r="F165" s="77">
        <v>4.0</v>
      </c>
      <c r="G165" s="73"/>
    </row>
    <row r="166">
      <c r="A166" s="73" t="s">
        <v>2976</v>
      </c>
      <c r="B166" s="77">
        <v>186.0</v>
      </c>
      <c r="C166" s="83"/>
      <c r="D166" s="77"/>
      <c r="E166" s="73" t="s">
        <v>3189</v>
      </c>
      <c r="F166" s="77">
        <v>4.0</v>
      </c>
      <c r="G166" s="73"/>
    </row>
    <row r="167">
      <c r="A167" s="73" t="s">
        <v>2960</v>
      </c>
      <c r="B167" s="73">
        <v>176.0</v>
      </c>
      <c r="C167" s="83"/>
      <c r="D167" s="73"/>
      <c r="E167" s="73" t="s">
        <v>3190</v>
      </c>
      <c r="F167" s="73">
        <v>4.0</v>
      </c>
      <c r="G167" s="73"/>
    </row>
    <row r="168">
      <c r="A168" s="73" t="s">
        <v>3068</v>
      </c>
      <c r="B168" s="77">
        <v>152.0</v>
      </c>
      <c r="C168" s="73"/>
      <c r="D168" s="77"/>
      <c r="E168" s="73" t="s">
        <v>3045</v>
      </c>
      <c r="F168" s="77">
        <v>3.5</v>
      </c>
      <c r="G168" s="73"/>
    </row>
    <row r="169">
      <c r="A169" s="73" t="s">
        <v>3042</v>
      </c>
      <c r="B169" s="73">
        <v>149.0</v>
      </c>
      <c r="C169" s="73"/>
      <c r="D169" s="73"/>
      <c r="E169" s="73" t="s">
        <v>3191</v>
      </c>
      <c r="F169" s="73">
        <v>3.5</v>
      </c>
      <c r="G169" s="73"/>
    </row>
    <row r="170">
      <c r="A170" s="73" t="s">
        <v>2972</v>
      </c>
      <c r="B170" s="77">
        <v>148.0</v>
      </c>
      <c r="C170" s="73"/>
      <c r="D170" s="77"/>
      <c r="E170" s="73" t="s">
        <v>3192</v>
      </c>
      <c r="F170" s="77">
        <v>3.5</v>
      </c>
      <c r="G170" s="73"/>
    </row>
    <row r="171">
      <c r="A171" s="73" t="s">
        <v>3038</v>
      </c>
      <c r="B171" s="77">
        <v>143.0</v>
      </c>
      <c r="C171" s="73"/>
      <c r="D171" s="77"/>
      <c r="E171" s="73" t="s">
        <v>3078</v>
      </c>
      <c r="F171" s="77">
        <v>3.0</v>
      </c>
      <c r="G171" s="73"/>
    </row>
    <row r="172">
      <c r="A172" s="73" t="s">
        <v>3034</v>
      </c>
      <c r="B172" s="77">
        <v>130.0</v>
      </c>
      <c r="C172" s="73"/>
      <c r="D172" s="77"/>
      <c r="E172" s="73" t="s">
        <v>3057</v>
      </c>
      <c r="F172" s="77">
        <v>3.0</v>
      </c>
      <c r="G172" s="73"/>
    </row>
    <row r="173">
      <c r="A173" s="73" t="s">
        <v>3019</v>
      </c>
      <c r="B173" s="77">
        <v>123.0</v>
      </c>
      <c r="C173" s="73"/>
      <c r="D173" s="77"/>
      <c r="E173" s="73" t="s">
        <v>2954</v>
      </c>
      <c r="F173" s="77">
        <v>2.5</v>
      </c>
      <c r="G173" s="73"/>
    </row>
    <row r="174">
      <c r="A174" s="73"/>
      <c r="B174" s="73"/>
      <c r="C174" s="73"/>
      <c r="D174" s="73"/>
      <c r="E174" s="73"/>
      <c r="F174" s="73"/>
      <c r="G174" s="73"/>
    </row>
    <row r="175">
      <c r="A175" s="73" t="s">
        <v>3193</v>
      </c>
      <c r="B175" s="73" t="s">
        <v>3194</v>
      </c>
      <c r="C175" s="73" t="s">
        <v>3195</v>
      </c>
      <c r="D175" s="73" t="s">
        <v>3196</v>
      </c>
      <c r="E175" s="73" t="s">
        <v>3197</v>
      </c>
      <c r="F175" s="73" t="s">
        <v>3198</v>
      </c>
      <c r="G175" s="73" t="s">
        <v>3199</v>
      </c>
    </row>
    <row r="176">
      <c r="A176" s="73" t="s">
        <v>3001</v>
      </c>
      <c r="B176" s="77">
        <v>2.0</v>
      </c>
      <c r="C176" s="73">
        <v>63.0</v>
      </c>
      <c r="D176" s="77">
        <v>31.5</v>
      </c>
      <c r="E176" s="73">
        <v>26.5</v>
      </c>
      <c r="F176" s="77">
        <v>0.841</v>
      </c>
      <c r="G176" s="73" t="s">
        <v>3200</v>
      </c>
    </row>
    <row r="177">
      <c r="A177" s="73" t="s">
        <v>159</v>
      </c>
      <c r="B177" s="77">
        <v>6.0</v>
      </c>
      <c r="C177" s="73">
        <v>196.0</v>
      </c>
      <c r="D177" s="77">
        <v>32.67</v>
      </c>
      <c r="E177" s="73">
        <v>8.01</v>
      </c>
      <c r="F177" s="77">
        <v>0.245</v>
      </c>
      <c r="G177" s="73" t="s">
        <v>3201</v>
      </c>
    </row>
    <row r="178">
      <c r="A178" s="73" t="s">
        <v>159</v>
      </c>
      <c r="B178" s="73">
        <v>6.0</v>
      </c>
      <c r="C178" s="73">
        <v>196.0</v>
      </c>
      <c r="D178" s="73">
        <v>32.67</v>
      </c>
      <c r="E178" s="73">
        <v>8.01</v>
      </c>
      <c r="F178" s="73">
        <v>0.245</v>
      </c>
      <c r="G178" s="73" t="s">
        <v>3201</v>
      </c>
    </row>
    <row r="179">
      <c r="A179" s="73" t="s">
        <v>181</v>
      </c>
      <c r="B179" s="77">
        <v>3.0</v>
      </c>
      <c r="C179" s="73">
        <v>86.0</v>
      </c>
      <c r="D179" s="77">
        <v>28.67</v>
      </c>
      <c r="E179" s="73">
        <v>3.4</v>
      </c>
      <c r="F179" s="77">
        <v>0.119</v>
      </c>
      <c r="G179" s="73" t="s">
        <v>3202</v>
      </c>
    </row>
    <row r="180">
      <c r="A180" s="73" t="s">
        <v>20</v>
      </c>
      <c r="B180" s="77">
        <v>3.0</v>
      </c>
      <c r="C180" s="73">
        <v>150.0</v>
      </c>
      <c r="D180" s="77">
        <v>50.0</v>
      </c>
      <c r="E180" s="73">
        <v>4.24</v>
      </c>
      <c r="F180" s="77">
        <v>0.085</v>
      </c>
      <c r="G180" s="73" t="s">
        <v>3203</v>
      </c>
    </row>
    <row r="181">
      <c r="A181" s="73" t="s">
        <v>380</v>
      </c>
      <c r="B181" s="77">
        <v>4.0</v>
      </c>
      <c r="C181" s="73">
        <v>132.0</v>
      </c>
      <c r="D181" s="77">
        <v>33.0</v>
      </c>
      <c r="E181" s="73">
        <v>2.45</v>
      </c>
      <c r="F181" s="77">
        <v>0.074</v>
      </c>
      <c r="G181" s="73" t="s">
        <v>3204</v>
      </c>
    </row>
    <row r="182">
      <c r="A182" s="73" t="s">
        <v>158</v>
      </c>
      <c r="B182" s="77">
        <v>3.0</v>
      </c>
      <c r="C182" s="73">
        <v>168.0</v>
      </c>
      <c r="D182" s="77">
        <v>56.0</v>
      </c>
      <c r="E182" s="73">
        <v>3.74</v>
      </c>
      <c r="F182" s="77">
        <v>0.067</v>
      </c>
      <c r="G182" s="73" t="s">
        <v>3205</v>
      </c>
    </row>
    <row r="183">
      <c r="A183" s="73" t="s">
        <v>165</v>
      </c>
      <c r="B183" s="77">
        <v>3.0</v>
      </c>
      <c r="C183" s="73">
        <v>138.0</v>
      </c>
      <c r="D183" s="77">
        <v>46.0</v>
      </c>
      <c r="E183" s="73">
        <v>2.83</v>
      </c>
      <c r="F183" s="77">
        <v>0.061</v>
      </c>
      <c r="G183" s="73" t="s">
        <v>3206</v>
      </c>
    </row>
    <row r="184">
      <c r="A184" s="73" t="s">
        <v>2980</v>
      </c>
      <c r="B184" s="77">
        <v>3.0</v>
      </c>
      <c r="C184" s="73">
        <v>122.0</v>
      </c>
      <c r="D184" s="77">
        <v>40.67</v>
      </c>
      <c r="E184" s="73">
        <v>1.7</v>
      </c>
      <c r="F184" s="77">
        <v>0.042</v>
      </c>
      <c r="G184" s="73" t="s">
        <v>3207</v>
      </c>
    </row>
    <row r="185">
      <c r="A185" s="73" t="s">
        <v>396</v>
      </c>
      <c r="B185" s="77">
        <v>2.0</v>
      </c>
      <c r="C185" s="83">
        <v>62.0</v>
      </c>
      <c r="D185" s="77">
        <v>31.0</v>
      </c>
      <c r="E185" s="73">
        <v>1.0</v>
      </c>
      <c r="F185" s="77">
        <v>0.032</v>
      </c>
      <c r="G185" s="73" t="s">
        <v>3208</v>
      </c>
    </row>
    <row r="186">
      <c r="A186" s="73" t="s">
        <v>167</v>
      </c>
      <c r="B186" s="77">
        <v>3.0</v>
      </c>
      <c r="C186" s="83">
        <v>127.0</v>
      </c>
      <c r="D186" s="77">
        <v>42.33</v>
      </c>
      <c r="E186" s="73">
        <v>1.25</v>
      </c>
      <c r="F186" s="77">
        <v>0.029</v>
      </c>
      <c r="G186" s="73" t="s">
        <v>3209</v>
      </c>
    </row>
    <row r="187">
      <c r="A187" s="73" t="s">
        <v>149</v>
      </c>
      <c r="B187" s="77">
        <v>4.0</v>
      </c>
      <c r="C187" s="83">
        <v>154.0</v>
      </c>
      <c r="D187" s="77">
        <v>38.5</v>
      </c>
      <c r="E187" s="73">
        <v>0.5</v>
      </c>
      <c r="F187" s="77">
        <v>0.013</v>
      </c>
      <c r="G187" s="73" t="s">
        <v>3210</v>
      </c>
    </row>
    <row r="188">
      <c r="A188" s="73" t="s">
        <v>2975</v>
      </c>
      <c r="B188" s="77">
        <v>2.0</v>
      </c>
      <c r="C188" s="83">
        <v>127.0</v>
      </c>
      <c r="D188" s="77">
        <v>63.5</v>
      </c>
      <c r="E188" s="73">
        <v>0.5</v>
      </c>
      <c r="F188" s="77">
        <v>0.008</v>
      </c>
      <c r="G188" s="73" t="s">
        <v>3211</v>
      </c>
    </row>
    <row r="189">
      <c r="A189" s="73" t="s">
        <v>151</v>
      </c>
      <c r="B189" s="77">
        <v>3.0</v>
      </c>
      <c r="C189" s="83">
        <v>147.0</v>
      </c>
      <c r="D189" s="77">
        <v>49.0</v>
      </c>
      <c r="E189" s="73">
        <v>0.0</v>
      </c>
      <c r="F189" s="77">
        <v>0.0</v>
      </c>
      <c r="G189" s="73" t="s">
        <v>3212</v>
      </c>
    </row>
    <row r="190">
      <c r="A190" s="73" t="s">
        <v>169</v>
      </c>
      <c r="B190" s="77">
        <v>3.0</v>
      </c>
      <c r="C190" s="83">
        <v>141.0</v>
      </c>
      <c r="D190" s="77">
        <v>47.0</v>
      </c>
      <c r="E190" s="73">
        <v>0.0</v>
      </c>
      <c r="F190" s="77">
        <v>0.0</v>
      </c>
      <c r="G190" s="73" t="s">
        <v>3213</v>
      </c>
    </row>
    <row r="191">
      <c r="A191" s="73" t="s">
        <v>171</v>
      </c>
      <c r="B191" s="77">
        <v>2.0</v>
      </c>
      <c r="C191" s="83">
        <v>116.0</v>
      </c>
      <c r="D191" s="77">
        <v>58.0</v>
      </c>
      <c r="E191" s="73">
        <v>0.0</v>
      </c>
      <c r="F191" s="77">
        <v>0.0</v>
      </c>
      <c r="G191" s="73" t="s">
        <v>3214</v>
      </c>
    </row>
    <row r="192">
      <c r="A192" s="73" t="s">
        <v>184</v>
      </c>
      <c r="B192" s="77">
        <v>2.0</v>
      </c>
      <c r="C192" s="83">
        <v>90.0</v>
      </c>
      <c r="D192" s="77">
        <v>45.0</v>
      </c>
      <c r="E192" s="73">
        <v>0.0</v>
      </c>
      <c r="F192" s="77">
        <v>0.0</v>
      </c>
      <c r="G192" s="73" t="s">
        <v>3215</v>
      </c>
    </row>
    <row r="193">
      <c r="A193" s="73" t="s">
        <v>205</v>
      </c>
      <c r="B193" s="77">
        <v>2.0</v>
      </c>
      <c r="C193" s="83">
        <v>70.0</v>
      </c>
      <c r="D193" s="77">
        <v>35.0</v>
      </c>
      <c r="E193" s="73">
        <v>0.0</v>
      </c>
      <c r="F193" s="77">
        <v>0.0</v>
      </c>
      <c r="G193" s="73" t="s">
        <v>3216</v>
      </c>
    </row>
    <row r="194">
      <c r="A194" s="73" t="s">
        <v>2977</v>
      </c>
      <c r="B194" s="77">
        <v>3.0</v>
      </c>
      <c r="C194" s="77">
        <v>123.0</v>
      </c>
      <c r="D194" s="77">
        <v>41.0</v>
      </c>
      <c r="E194" s="77">
        <v>0.0</v>
      </c>
      <c r="F194" s="77">
        <v>0.0</v>
      </c>
      <c r="G194" s="73" t="s">
        <v>3217</v>
      </c>
    </row>
    <row r="195">
      <c r="A195" s="73" t="s">
        <v>400</v>
      </c>
      <c r="B195" s="73">
        <v>2.0</v>
      </c>
      <c r="C195" s="73">
        <v>98.0</v>
      </c>
      <c r="D195" s="73">
        <v>49.0</v>
      </c>
      <c r="E195" s="73">
        <v>0.0</v>
      </c>
      <c r="F195" s="73">
        <v>0.0</v>
      </c>
      <c r="G195" s="73" t="s">
        <v>3218</v>
      </c>
    </row>
    <row r="196">
      <c r="A196" s="73" t="s">
        <v>403</v>
      </c>
      <c r="B196" s="77">
        <v>2.0</v>
      </c>
      <c r="C196" s="77">
        <v>78.0</v>
      </c>
      <c r="D196" s="77">
        <v>39.0</v>
      </c>
      <c r="E196" s="77">
        <v>0.0</v>
      </c>
      <c r="F196" s="77">
        <v>0.0</v>
      </c>
      <c r="G196" s="73" t="s">
        <v>3219</v>
      </c>
    </row>
    <row r="197">
      <c r="A197" s="73"/>
      <c r="B197" s="73"/>
      <c r="C197" s="73"/>
      <c r="D197" s="73"/>
      <c r="E197" s="73"/>
      <c r="F197" s="73"/>
      <c r="G197" s="73"/>
    </row>
    <row r="198">
      <c r="A198" s="73"/>
      <c r="B198" s="77"/>
      <c r="C198" s="77"/>
      <c r="D198" s="77"/>
      <c r="E198" s="77"/>
      <c r="F198" s="77"/>
      <c r="G198" s="73"/>
    </row>
    <row r="199">
      <c r="A199" s="73"/>
      <c r="B199" s="73"/>
      <c r="C199" s="77"/>
      <c r="D199" s="77"/>
      <c r="E199" s="73"/>
      <c r="F199" s="73"/>
      <c r="G199" s="73"/>
    </row>
    <row r="200">
      <c r="A200" s="73"/>
      <c r="B200" s="77"/>
      <c r="C200" s="77"/>
      <c r="D200" s="77"/>
      <c r="E200" s="77"/>
      <c r="F200" s="77"/>
      <c r="G200" s="73"/>
    </row>
    <row r="201">
      <c r="A201" s="73" t="s">
        <v>3220</v>
      </c>
      <c r="B201" s="73"/>
      <c r="C201" s="77"/>
      <c r="D201" s="77"/>
      <c r="E201" s="73"/>
      <c r="F201" s="73"/>
      <c r="G201" s="73"/>
    </row>
    <row r="202">
      <c r="A202" s="73" t="s">
        <v>2906</v>
      </c>
      <c r="B202" s="76">
        <v>46171.726780625</v>
      </c>
      <c r="C202" s="73" t="s">
        <v>2907</v>
      </c>
      <c r="D202" s="77">
        <v>1.2313664698488986</v>
      </c>
      <c r="E202" s="73" t="s">
        <v>2908</v>
      </c>
      <c r="F202" s="77">
        <v>83.0</v>
      </c>
      <c r="G202" s="74"/>
    </row>
    <row r="203">
      <c r="A203" s="73" t="s">
        <v>2909</v>
      </c>
      <c r="B203" s="73">
        <v>0.18302553010321643</v>
      </c>
      <c r="C203" s="73" t="s">
        <v>2910</v>
      </c>
      <c r="D203" s="73">
        <v>6.727839931153184</v>
      </c>
      <c r="E203" s="73"/>
      <c r="F203" s="73"/>
      <c r="G203" s="73"/>
    </row>
    <row r="204">
      <c r="A204" s="73" t="s">
        <v>2912</v>
      </c>
      <c r="B204" s="77">
        <v>1162.0</v>
      </c>
      <c r="C204" s="73" t="s">
        <v>2913</v>
      </c>
      <c r="D204" s="77">
        <v>6466.0</v>
      </c>
      <c r="E204" s="73" t="s">
        <v>2914</v>
      </c>
      <c r="F204" s="77">
        <v>83.0</v>
      </c>
      <c r="G204" s="73"/>
    </row>
    <row r="205">
      <c r="A205" s="73"/>
      <c r="B205" s="77"/>
      <c r="C205" s="77"/>
      <c r="D205" s="77"/>
      <c r="E205" s="77"/>
      <c r="F205" s="77"/>
      <c r="G205" s="73"/>
    </row>
    <row r="206">
      <c r="A206" s="73" t="s">
        <v>2918</v>
      </c>
      <c r="B206" s="73" t="s">
        <v>2919</v>
      </c>
      <c r="C206" s="73" t="s">
        <v>2920</v>
      </c>
      <c r="D206" s="73" t="s">
        <v>2921</v>
      </c>
      <c r="E206" s="73" t="s">
        <v>2922</v>
      </c>
      <c r="F206" s="73" t="s">
        <v>745</v>
      </c>
      <c r="G206" s="73" t="s">
        <v>2923</v>
      </c>
    </row>
    <row r="207">
      <c r="A207" s="73">
        <v>0.0</v>
      </c>
      <c r="B207" s="77">
        <v>161.0</v>
      </c>
      <c r="C207" s="77">
        <v>161.0</v>
      </c>
      <c r="D207" s="73" t="s">
        <v>3221</v>
      </c>
      <c r="E207" s="73">
        <v>0.0</v>
      </c>
      <c r="F207" s="77">
        <v>1093.0</v>
      </c>
      <c r="G207" s="73" t="s">
        <v>2925</v>
      </c>
    </row>
    <row r="208">
      <c r="A208" s="73">
        <v>1.0</v>
      </c>
      <c r="B208" s="77">
        <v>40.0</v>
      </c>
      <c r="C208" s="77">
        <v>201.0</v>
      </c>
      <c r="D208" s="73" t="s">
        <v>3222</v>
      </c>
      <c r="E208" s="73">
        <v>1.0</v>
      </c>
      <c r="F208" s="77">
        <v>56.0</v>
      </c>
      <c r="G208" s="73" t="s">
        <v>2929</v>
      </c>
    </row>
    <row r="209">
      <c r="A209" s="73">
        <v>2.0</v>
      </c>
      <c r="B209" s="77">
        <v>111.0</v>
      </c>
      <c r="C209" s="77">
        <v>312.0</v>
      </c>
      <c r="D209" s="73" t="s">
        <v>3223</v>
      </c>
      <c r="E209" s="73">
        <v>2.0</v>
      </c>
      <c r="F209" s="77">
        <v>12.0</v>
      </c>
      <c r="G209" s="83">
        <v>0.01</v>
      </c>
    </row>
    <row r="210">
      <c r="A210" s="73">
        <v>3.0</v>
      </c>
      <c r="B210" s="77">
        <v>102.0</v>
      </c>
      <c r="C210" s="77">
        <v>414.0</v>
      </c>
      <c r="D210" s="73" t="s">
        <v>3224</v>
      </c>
      <c r="E210" s="73">
        <v>3.0</v>
      </c>
      <c r="F210" s="77">
        <v>1.0</v>
      </c>
      <c r="G210" s="73" t="s">
        <v>2936</v>
      </c>
    </row>
    <row r="211">
      <c r="A211" s="73">
        <v>4.0</v>
      </c>
      <c r="B211" s="77">
        <v>78.0</v>
      </c>
      <c r="C211" s="77">
        <v>492.0</v>
      </c>
      <c r="D211" s="73" t="s">
        <v>3225</v>
      </c>
      <c r="E211" s="77"/>
      <c r="F211" s="77"/>
      <c r="G211" s="73"/>
    </row>
    <row r="212">
      <c r="A212" s="73">
        <v>5.0</v>
      </c>
      <c r="B212" s="77">
        <v>122.0</v>
      </c>
      <c r="C212" s="77">
        <v>614.0</v>
      </c>
      <c r="D212" s="73" t="s">
        <v>3226</v>
      </c>
      <c r="E212" s="77"/>
      <c r="F212" s="77"/>
      <c r="G212" s="73"/>
    </row>
    <row r="213">
      <c r="A213" s="73">
        <v>6.0</v>
      </c>
      <c r="B213" s="77">
        <v>73.0</v>
      </c>
      <c r="C213" s="77">
        <v>687.0</v>
      </c>
      <c r="D213" s="73" t="s">
        <v>3227</v>
      </c>
      <c r="E213" s="77"/>
      <c r="F213" s="77"/>
      <c r="G213" s="73"/>
    </row>
    <row r="214">
      <c r="A214" s="73">
        <v>7.0</v>
      </c>
      <c r="B214" s="77">
        <v>95.0</v>
      </c>
      <c r="C214" s="77">
        <v>782.0</v>
      </c>
      <c r="D214" s="73" t="s">
        <v>3228</v>
      </c>
      <c r="E214" s="77"/>
      <c r="F214" s="77"/>
      <c r="G214" s="73"/>
    </row>
    <row r="215">
      <c r="A215" s="73">
        <v>8.0</v>
      </c>
      <c r="B215" s="77">
        <v>110.0</v>
      </c>
      <c r="C215" s="77">
        <v>892.0</v>
      </c>
      <c r="D215" s="73" t="s">
        <v>3229</v>
      </c>
      <c r="E215" s="77"/>
      <c r="F215" s="77"/>
      <c r="G215" s="73"/>
    </row>
    <row r="216">
      <c r="A216" s="73">
        <v>9.0</v>
      </c>
      <c r="B216" s="77">
        <v>68.0</v>
      </c>
      <c r="C216" s="77">
        <v>960.0</v>
      </c>
      <c r="D216" s="73" t="s">
        <v>3230</v>
      </c>
      <c r="E216" s="77"/>
      <c r="F216" s="77"/>
      <c r="G216" s="73"/>
    </row>
    <row r="217">
      <c r="A217" s="73">
        <v>10.0</v>
      </c>
      <c r="B217" s="77">
        <v>40.0</v>
      </c>
      <c r="C217" s="77">
        <v>1000.0</v>
      </c>
      <c r="D217" s="73" t="s">
        <v>3231</v>
      </c>
      <c r="E217" s="77"/>
      <c r="F217" s="77"/>
      <c r="G217" s="73"/>
    </row>
    <row r="218">
      <c r="A218" s="73">
        <v>11.0</v>
      </c>
      <c r="B218" s="77">
        <v>80.0</v>
      </c>
      <c r="C218" s="77">
        <v>1080.0</v>
      </c>
      <c r="D218" s="73" t="s">
        <v>3232</v>
      </c>
      <c r="E218" s="77"/>
      <c r="F218" s="77"/>
      <c r="G218" s="73"/>
    </row>
    <row r="219">
      <c r="A219" s="73">
        <v>12.0</v>
      </c>
      <c r="B219" s="77">
        <v>31.0</v>
      </c>
      <c r="C219" s="77">
        <v>1111.0</v>
      </c>
      <c r="D219" s="73" t="s">
        <v>3233</v>
      </c>
      <c r="E219" s="77"/>
      <c r="F219" s="77"/>
      <c r="G219" s="73"/>
    </row>
    <row r="220">
      <c r="A220" s="73">
        <v>13.0</v>
      </c>
      <c r="B220" s="77">
        <v>12.0</v>
      </c>
      <c r="C220" s="77">
        <v>1123.0</v>
      </c>
      <c r="D220" s="73" t="s">
        <v>3234</v>
      </c>
      <c r="E220" s="77"/>
      <c r="F220" s="77"/>
      <c r="G220" s="73"/>
    </row>
    <row r="221">
      <c r="A221" s="73">
        <v>14.0</v>
      </c>
      <c r="B221" s="77">
        <v>26.0</v>
      </c>
      <c r="C221" s="77">
        <v>1149.0</v>
      </c>
      <c r="D221" s="73" t="s">
        <v>2947</v>
      </c>
      <c r="E221" s="77"/>
      <c r="F221" s="77"/>
      <c r="G221" s="73"/>
    </row>
    <row r="222">
      <c r="A222" s="73">
        <v>15.0</v>
      </c>
      <c r="B222" s="77">
        <v>5.0</v>
      </c>
      <c r="C222" s="77">
        <v>1154.0</v>
      </c>
      <c r="D222" s="73" t="s">
        <v>3235</v>
      </c>
      <c r="E222" s="77"/>
      <c r="F222" s="77"/>
      <c r="G222" s="73"/>
    </row>
    <row r="223">
      <c r="A223" s="73">
        <v>16.0</v>
      </c>
      <c r="B223" s="77">
        <v>2.0</v>
      </c>
      <c r="C223" s="77">
        <v>1156.0</v>
      </c>
      <c r="D223" s="73" t="s">
        <v>3236</v>
      </c>
      <c r="E223" s="77"/>
      <c r="F223" s="77"/>
      <c r="G223" s="73"/>
    </row>
    <row r="224">
      <c r="A224" s="73">
        <v>17.0</v>
      </c>
      <c r="B224" s="77">
        <v>6.0</v>
      </c>
      <c r="C224" s="77">
        <v>1162.0</v>
      </c>
      <c r="D224" s="83">
        <v>1.0</v>
      </c>
      <c r="E224" s="77"/>
      <c r="F224" s="77"/>
      <c r="G224" s="73"/>
    </row>
    <row r="225">
      <c r="A225" s="74"/>
      <c r="B225" s="74"/>
      <c r="C225" s="74"/>
      <c r="D225" s="74"/>
      <c r="E225" s="74"/>
      <c r="F225" s="74"/>
      <c r="G225" s="74"/>
    </row>
    <row r="226">
      <c r="A226" s="73" t="s">
        <v>2950</v>
      </c>
      <c r="B226" s="73" t="s">
        <v>2951</v>
      </c>
      <c r="C226" s="73" t="s">
        <v>2923</v>
      </c>
      <c r="D226" s="74"/>
      <c r="E226" s="73" t="s">
        <v>2952</v>
      </c>
      <c r="F226" s="73" t="s">
        <v>2951</v>
      </c>
      <c r="G226" s="73" t="s">
        <v>2923</v>
      </c>
    </row>
    <row r="227">
      <c r="A227" s="73" t="s">
        <v>158</v>
      </c>
      <c r="B227" s="77">
        <v>168.0</v>
      </c>
      <c r="C227" s="73" t="s">
        <v>2953</v>
      </c>
      <c r="D227" s="74"/>
      <c r="E227" s="73" t="s">
        <v>2954</v>
      </c>
      <c r="F227" s="77">
        <v>85.0</v>
      </c>
      <c r="G227" s="73" t="s">
        <v>2955</v>
      </c>
    </row>
    <row r="228">
      <c r="A228" s="73" t="s">
        <v>149</v>
      </c>
      <c r="B228" s="73">
        <v>154.0</v>
      </c>
      <c r="C228" s="73" t="s">
        <v>2956</v>
      </c>
      <c r="D228" s="73"/>
      <c r="E228" s="73" t="s">
        <v>2957</v>
      </c>
      <c r="F228" s="73">
        <v>65.0</v>
      </c>
      <c r="G228" s="73" t="s">
        <v>2958</v>
      </c>
    </row>
    <row r="229">
      <c r="A229" s="73" t="s">
        <v>20</v>
      </c>
      <c r="B229" s="77">
        <v>150.0</v>
      </c>
      <c r="C229" s="73" t="s">
        <v>2959</v>
      </c>
      <c r="D229" s="77"/>
      <c r="E229" s="73" t="s">
        <v>2960</v>
      </c>
      <c r="F229" s="77">
        <v>64.0</v>
      </c>
      <c r="G229" s="73" t="s">
        <v>2961</v>
      </c>
    </row>
    <row r="230">
      <c r="A230" s="73" t="s">
        <v>151</v>
      </c>
      <c r="B230" s="77">
        <v>147.0</v>
      </c>
      <c r="C230" s="73" t="s">
        <v>2962</v>
      </c>
      <c r="D230" s="77"/>
      <c r="E230" s="73" t="s">
        <v>2963</v>
      </c>
      <c r="F230" s="77">
        <v>63.0</v>
      </c>
      <c r="G230" s="73" t="s">
        <v>2964</v>
      </c>
    </row>
    <row r="231">
      <c r="A231" s="73" t="s">
        <v>169</v>
      </c>
      <c r="B231" s="77">
        <v>141.0</v>
      </c>
      <c r="C231" s="73" t="s">
        <v>2965</v>
      </c>
      <c r="D231" s="77"/>
      <c r="E231" s="73" t="s">
        <v>2969</v>
      </c>
      <c r="F231" s="77">
        <v>59.0</v>
      </c>
      <c r="G231" s="73" t="s">
        <v>2970</v>
      </c>
    </row>
    <row r="232">
      <c r="A232" s="73" t="s">
        <v>165</v>
      </c>
      <c r="B232" s="77">
        <v>138.0</v>
      </c>
      <c r="C232" s="73" t="s">
        <v>2968</v>
      </c>
      <c r="D232" s="77"/>
      <c r="E232" s="73" t="s">
        <v>2972</v>
      </c>
      <c r="F232" s="77">
        <v>58.0</v>
      </c>
      <c r="G232" s="83">
        <v>0.05</v>
      </c>
    </row>
    <row r="233">
      <c r="A233" s="73" t="s">
        <v>380</v>
      </c>
      <c r="B233" s="77">
        <v>132.0</v>
      </c>
      <c r="C233" s="73" t="s">
        <v>2971</v>
      </c>
      <c r="D233" s="77"/>
      <c r="E233" s="73" t="s">
        <v>2974</v>
      </c>
      <c r="F233" s="77">
        <v>58.0</v>
      </c>
      <c r="G233" s="83">
        <v>0.05</v>
      </c>
    </row>
    <row r="234">
      <c r="A234" s="73" t="s">
        <v>167</v>
      </c>
      <c r="B234" s="77">
        <v>127.0</v>
      </c>
      <c r="C234" s="73" t="s">
        <v>2973</v>
      </c>
      <c r="D234" s="77"/>
      <c r="E234" s="73" t="s">
        <v>3016</v>
      </c>
      <c r="F234" s="77">
        <v>57.0</v>
      </c>
      <c r="G234" s="73" t="s">
        <v>3237</v>
      </c>
    </row>
    <row r="235">
      <c r="A235" s="73" t="s">
        <v>2975</v>
      </c>
      <c r="B235" s="77">
        <v>127.0</v>
      </c>
      <c r="C235" s="73" t="s">
        <v>2973</v>
      </c>
      <c r="D235" s="77"/>
      <c r="E235" s="73" t="s">
        <v>2983</v>
      </c>
      <c r="F235" s="77">
        <v>56.0</v>
      </c>
      <c r="G235" s="73" t="s">
        <v>2929</v>
      </c>
    </row>
    <row r="236">
      <c r="A236" s="73" t="s">
        <v>2977</v>
      </c>
      <c r="B236" s="77">
        <v>123.0</v>
      </c>
      <c r="C236" s="73" t="s">
        <v>2978</v>
      </c>
      <c r="D236" s="77"/>
      <c r="E236" s="73" t="s">
        <v>2966</v>
      </c>
      <c r="F236" s="77">
        <v>56.0</v>
      </c>
      <c r="G236" s="73" t="s">
        <v>2929</v>
      </c>
    </row>
    <row r="237">
      <c r="A237" s="73" t="s">
        <v>2980</v>
      </c>
      <c r="B237" s="77">
        <v>122.0</v>
      </c>
      <c r="C237" s="73" t="s">
        <v>2981</v>
      </c>
      <c r="D237" s="77"/>
      <c r="E237" s="73" t="s">
        <v>2995</v>
      </c>
      <c r="F237" s="77">
        <v>56.0</v>
      </c>
      <c r="G237" s="73" t="s">
        <v>2929</v>
      </c>
    </row>
    <row r="238">
      <c r="A238" s="73" t="s">
        <v>171</v>
      </c>
      <c r="B238" s="77">
        <v>116.0</v>
      </c>
      <c r="C238" s="83">
        <v>0.1</v>
      </c>
      <c r="D238" s="77"/>
      <c r="E238" s="73" t="s">
        <v>2979</v>
      </c>
      <c r="F238" s="77">
        <v>56.0</v>
      </c>
      <c r="G238" s="73" t="s">
        <v>2929</v>
      </c>
    </row>
    <row r="239">
      <c r="A239" s="73" t="s">
        <v>159</v>
      </c>
      <c r="B239" s="77">
        <v>98.0</v>
      </c>
      <c r="C239" s="73" t="s">
        <v>2985</v>
      </c>
      <c r="D239" s="77"/>
      <c r="E239" s="73" t="s">
        <v>2982</v>
      </c>
      <c r="F239" s="77">
        <v>56.0</v>
      </c>
      <c r="G239" s="73" t="s">
        <v>2929</v>
      </c>
    </row>
    <row r="240">
      <c r="A240" s="73" t="s">
        <v>400</v>
      </c>
      <c r="B240" s="77">
        <v>98.0</v>
      </c>
      <c r="C240" s="73" t="s">
        <v>2985</v>
      </c>
      <c r="D240" s="77"/>
      <c r="E240" s="73" t="s">
        <v>2986</v>
      </c>
      <c r="F240" s="77">
        <v>54.0</v>
      </c>
      <c r="G240" s="73" t="s">
        <v>2987</v>
      </c>
    </row>
    <row r="241">
      <c r="A241" s="73" t="s">
        <v>184</v>
      </c>
      <c r="B241" s="77">
        <v>90.0</v>
      </c>
      <c r="C241" s="73" t="s">
        <v>2989</v>
      </c>
      <c r="D241" s="77"/>
      <c r="E241" s="73" t="s">
        <v>2988</v>
      </c>
      <c r="F241" s="77">
        <v>54.0</v>
      </c>
      <c r="G241" s="73" t="s">
        <v>2987</v>
      </c>
    </row>
    <row r="242">
      <c r="A242" s="73" t="s">
        <v>181</v>
      </c>
      <c r="B242" s="77">
        <v>86.0</v>
      </c>
      <c r="C242" s="73" t="s">
        <v>2991</v>
      </c>
      <c r="D242" s="77"/>
      <c r="E242" s="73" t="s">
        <v>2993</v>
      </c>
      <c r="F242" s="77">
        <v>53.0</v>
      </c>
      <c r="G242" s="73" t="s">
        <v>2987</v>
      </c>
    </row>
    <row r="243">
      <c r="A243" s="73" t="s">
        <v>187</v>
      </c>
      <c r="B243" s="77">
        <v>85.0</v>
      </c>
      <c r="C243" s="73" t="s">
        <v>2955</v>
      </c>
      <c r="D243" s="77"/>
      <c r="E243" s="73" t="s">
        <v>2997</v>
      </c>
      <c r="F243" s="77">
        <v>51.0</v>
      </c>
      <c r="G243" s="73" t="s">
        <v>2998</v>
      </c>
    </row>
    <row r="244">
      <c r="A244" s="73" t="s">
        <v>403</v>
      </c>
      <c r="B244" s="77">
        <v>78.0</v>
      </c>
      <c r="C244" s="73" t="s">
        <v>2994</v>
      </c>
      <c r="D244" s="77"/>
      <c r="E244" s="73" t="s">
        <v>2990</v>
      </c>
      <c r="F244" s="77">
        <v>50.0</v>
      </c>
      <c r="G244" s="73" t="s">
        <v>3000</v>
      </c>
    </row>
    <row r="245">
      <c r="A245" s="73" t="s">
        <v>205</v>
      </c>
      <c r="B245" s="77">
        <v>70.0</v>
      </c>
      <c r="C245" s="83">
        <v>0.06</v>
      </c>
      <c r="D245" s="77"/>
      <c r="E245" s="73" t="s">
        <v>3032</v>
      </c>
      <c r="F245" s="77">
        <v>50.0</v>
      </c>
      <c r="G245" s="73" t="s">
        <v>3000</v>
      </c>
    </row>
    <row r="246">
      <c r="A246" s="73" t="s">
        <v>189</v>
      </c>
      <c r="B246" s="77">
        <v>65.0</v>
      </c>
      <c r="C246" s="73" t="s">
        <v>2958</v>
      </c>
      <c r="D246" s="77"/>
      <c r="E246" s="73" t="s">
        <v>2992</v>
      </c>
      <c r="F246" s="77">
        <v>50.0</v>
      </c>
      <c r="G246" s="73" t="s">
        <v>3000</v>
      </c>
    </row>
    <row r="247">
      <c r="A247" s="73" t="s">
        <v>3001</v>
      </c>
      <c r="B247" s="77">
        <v>63.0</v>
      </c>
      <c r="C247" s="73" t="s">
        <v>2964</v>
      </c>
      <c r="D247" s="77"/>
      <c r="E247" s="73" t="s">
        <v>2999</v>
      </c>
      <c r="F247" s="77">
        <v>50.0</v>
      </c>
      <c r="G247" s="73" t="s">
        <v>3000</v>
      </c>
    </row>
    <row r="248">
      <c r="A248" s="73" t="s">
        <v>396</v>
      </c>
      <c r="B248" s="77">
        <v>62.0</v>
      </c>
      <c r="C248" s="73" t="s">
        <v>3004</v>
      </c>
      <c r="D248" s="77"/>
      <c r="E248" s="73" t="s">
        <v>3002</v>
      </c>
      <c r="F248" s="77">
        <v>49.0</v>
      </c>
      <c r="G248" s="73" t="s">
        <v>3003</v>
      </c>
    </row>
    <row r="249">
      <c r="A249" s="73" t="s">
        <v>179</v>
      </c>
      <c r="B249" s="77">
        <v>59.0</v>
      </c>
      <c r="C249" s="73" t="s">
        <v>2970</v>
      </c>
      <c r="D249" s="74"/>
      <c r="E249" s="73" t="s">
        <v>3005</v>
      </c>
      <c r="F249" s="77">
        <v>49.0</v>
      </c>
      <c r="G249" s="73" t="s">
        <v>3003</v>
      </c>
    </row>
    <row r="250">
      <c r="A250" s="73" t="s">
        <v>409</v>
      </c>
      <c r="B250" s="77">
        <v>56.0</v>
      </c>
      <c r="C250" s="73" t="s">
        <v>2929</v>
      </c>
      <c r="D250" s="74"/>
      <c r="E250" s="73" t="s">
        <v>3006</v>
      </c>
      <c r="F250" s="77">
        <v>49.0</v>
      </c>
      <c r="G250" s="73" t="s">
        <v>3003</v>
      </c>
    </row>
    <row r="251">
      <c r="A251" s="73" t="s">
        <v>3008</v>
      </c>
      <c r="B251" s="77">
        <v>56.0</v>
      </c>
      <c r="C251" s="73" t="s">
        <v>2929</v>
      </c>
      <c r="D251" s="74"/>
      <c r="E251" s="73" t="s">
        <v>3007</v>
      </c>
      <c r="F251" s="77">
        <v>49.0</v>
      </c>
      <c r="G251" s="73" t="s">
        <v>3003</v>
      </c>
    </row>
    <row r="252">
      <c r="A252" s="73" t="s">
        <v>203</v>
      </c>
      <c r="B252" s="77">
        <v>54.0</v>
      </c>
      <c r="C252" s="73" t="s">
        <v>2987</v>
      </c>
      <c r="D252" s="74"/>
      <c r="E252" s="73" t="s">
        <v>3009</v>
      </c>
      <c r="F252" s="77">
        <v>49.0</v>
      </c>
      <c r="G252" s="73" t="s">
        <v>3003</v>
      </c>
    </row>
    <row r="253">
      <c r="A253" s="73" t="s">
        <v>3012</v>
      </c>
      <c r="B253" s="77">
        <v>54.0</v>
      </c>
      <c r="C253" s="73" t="s">
        <v>2987</v>
      </c>
      <c r="D253" s="74"/>
      <c r="E253" s="73" t="s">
        <v>3010</v>
      </c>
      <c r="F253" s="77">
        <v>47.0</v>
      </c>
      <c r="G253" s="83">
        <v>0.04</v>
      </c>
    </row>
    <row r="254">
      <c r="A254" s="73" t="s">
        <v>3014</v>
      </c>
      <c r="B254" s="77">
        <v>53.0</v>
      </c>
      <c r="C254" s="73" t="s">
        <v>2987</v>
      </c>
      <c r="D254" s="74"/>
      <c r="E254" s="73" t="s">
        <v>3019</v>
      </c>
      <c r="F254" s="77">
        <v>47.0</v>
      </c>
      <c r="G254" s="83">
        <v>0.04</v>
      </c>
    </row>
    <row r="255">
      <c r="A255" s="73" t="s">
        <v>201</v>
      </c>
      <c r="B255" s="77">
        <v>51.0</v>
      </c>
      <c r="C255" s="73" t="s">
        <v>2998</v>
      </c>
      <c r="D255" s="74"/>
      <c r="E255" s="73" t="s">
        <v>3020</v>
      </c>
      <c r="F255" s="77">
        <v>47.0</v>
      </c>
      <c r="G255" s="83">
        <v>0.04</v>
      </c>
    </row>
    <row r="256">
      <c r="A256" s="73" t="s">
        <v>3017</v>
      </c>
      <c r="B256" s="77">
        <v>50.0</v>
      </c>
      <c r="C256" s="73" t="s">
        <v>3000</v>
      </c>
      <c r="D256" s="74"/>
      <c r="E256" s="73" t="s">
        <v>3021</v>
      </c>
      <c r="F256" s="77">
        <v>46.0</v>
      </c>
      <c r="G256" s="83">
        <v>0.04</v>
      </c>
    </row>
    <row r="257">
      <c r="A257" s="73" t="s">
        <v>207</v>
      </c>
      <c r="B257" s="77">
        <v>47.0</v>
      </c>
      <c r="C257" s="83">
        <v>0.04</v>
      </c>
      <c r="D257" s="74"/>
      <c r="E257" s="73" t="s">
        <v>3045</v>
      </c>
      <c r="F257" s="77">
        <v>46.0</v>
      </c>
      <c r="G257" s="83">
        <v>0.04</v>
      </c>
    </row>
    <row r="258">
      <c r="A258" s="73" t="s">
        <v>414</v>
      </c>
      <c r="B258" s="77">
        <v>47.0</v>
      </c>
      <c r="C258" s="83">
        <v>0.04</v>
      </c>
      <c r="D258" s="74"/>
      <c r="E258" s="73" t="s">
        <v>3022</v>
      </c>
      <c r="F258" s="77">
        <v>46.0</v>
      </c>
      <c r="G258" s="83">
        <v>0.04</v>
      </c>
    </row>
    <row r="259">
      <c r="A259" s="73" t="s">
        <v>154</v>
      </c>
      <c r="B259" s="77">
        <v>46.0</v>
      </c>
      <c r="C259" s="83">
        <v>0.04</v>
      </c>
      <c r="D259" s="74"/>
      <c r="E259" s="73" t="s">
        <v>3013</v>
      </c>
      <c r="F259" s="77">
        <v>45.0</v>
      </c>
      <c r="G259" s="73" t="s">
        <v>3023</v>
      </c>
    </row>
    <row r="260">
      <c r="A260" s="73" t="s">
        <v>199</v>
      </c>
      <c r="B260" s="77">
        <v>46.0</v>
      </c>
      <c r="C260" s="83">
        <v>0.04</v>
      </c>
      <c r="D260" s="74"/>
      <c r="E260" s="73" t="s">
        <v>3024</v>
      </c>
      <c r="F260" s="77">
        <v>45.0</v>
      </c>
      <c r="G260" s="73" t="s">
        <v>3023</v>
      </c>
    </row>
    <row r="261">
      <c r="A261" s="73" t="s">
        <v>387</v>
      </c>
      <c r="B261" s="77">
        <v>45.0</v>
      </c>
      <c r="C261" s="73" t="s">
        <v>3023</v>
      </c>
      <c r="D261" s="74"/>
      <c r="E261" s="73" t="s">
        <v>3027</v>
      </c>
      <c r="F261" s="77">
        <v>45.0</v>
      </c>
      <c r="G261" s="73" t="s">
        <v>3023</v>
      </c>
    </row>
    <row r="262">
      <c r="A262" s="73" t="s">
        <v>3025</v>
      </c>
      <c r="B262" s="77">
        <v>44.0</v>
      </c>
      <c r="C262" s="73" t="s">
        <v>3026</v>
      </c>
      <c r="D262" s="74"/>
      <c r="E262" s="73" t="s">
        <v>3029</v>
      </c>
      <c r="F262" s="77">
        <v>45.0</v>
      </c>
      <c r="G262" s="73" t="s">
        <v>3023</v>
      </c>
    </row>
    <row r="263">
      <c r="A263" s="73" t="s">
        <v>22</v>
      </c>
      <c r="B263" s="77">
        <v>41.0</v>
      </c>
      <c r="C263" s="73" t="s">
        <v>3028</v>
      </c>
      <c r="D263" s="74"/>
      <c r="E263" s="73" t="s">
        <v>3038</v>
      </c>
      <c r="F263" s="77">
        <v>44.0</v>
      </c>
      <c r="G263" s="73" t="s">
        <v>3026</v>
      </c>
    </row>
    <row r="264">
      <c r="A264" s="73" t="s">
        <v>3030</v>
      </c>
      <c r="B264" s="77">
        <v>40.0</v>
      </c>
      <c r="C264" s="73" t="s">
        <v>3031</v>
      </c>
      <c r="D264" s="74"/>
      <c r="E264" s="73" t="s">
        <v>3049</v>
      </c>
      <c r="F264" s="77">
        <v>43.0</v>
      </c>
      <c r="G264" s="73" t="s">
        <v>3041</v>
      </c>
    </row>
    <row r="265">
      <c r="A265" s="73" t="s">
        <v>18</v>
      </c>
      <c r="B265" s="77">
        <v>38.0</v>
      </c>
      <c r="C265" s="73" t="s">
        <v>3033</v>
      </c>
      <c r="D265" s="74"/>
      <c r="E265" s="73" t="s">
        <v>3042</v>
      </c>
      <c r="F265" s="77">
        <v>42.0</v>
      </c>
      <c r="G265" s="73" t="s">
        <v>3043</v>
      </c>
    </row>
    <row r="266">
      <c r="A266" s="73" t="s">
        <v>25</v>
      </c>
      <c r="B266" s="77">
        <v>37.0</v>
      </c>
      <c r="C266" s="73" t="s">
        <v>3035</v>
      </c>
      <c r="D266" s="74"/>
      <c r="E266" s="73" t="s">
        <v>3036</v>
      </c>
      <c r="F266" s="77">
        <v>42.0</v>
      </c>
      <c r="G266" s="73" t="s">
        <v>3043</v>
      </c>
    </row>
    <row r="267">
      <c r="A267" s="73" t="s">
        <v>352</v>
      </c>
      <c r="B267" s="77">
        <v>33.0</v>
      </c>
      <c r="C267" s="73" t="s">
        <v>3037</v>
      </c>
      <c r="D267" s="74"/>
      <c r="E267" s="73" t="s">
        <v>3015</v>
      </c>
      <c r="F267" s="77">
        <v>42.0</v>
      </c>
      <c r="G267" s="73" t="s">
        <v>3043</v>
      </c>
    </row>
    <row r="268">
      <c r="A268" s="73" t="s">
        <v>324</v>
      </c>
      <c r="B268" s="77">
        <v>29.0</v>
      </c>
      <c r="C268" s="73" t="s">
        <v>3039</v>
      </c>
      <c r="D268" s="74"/>
      <c r="E268" s="73" t="s">
        <v>3018</v>
      </c>
      <c r="F268" s="77">
        <v>42.0</v>
      </c>
      <c r="G268" s="73" t="s">
        <v>3043</v>
      </c>
    </row>
    <row r="269">
      <c r="A269" s="73" t="s">
        <v>45</v>
      </c>
      <c r="B269" s="77">
        <v>23.0</v>
      </c>
      <c r="C269" s="83">
        <v>0.02</v>
      </c>
      <c r="D269" s="74"/>
      <c r="E269" s="73" t="s">
        <v>3047</v>
      </c>
      <c r="F269" s="77">
        <v>41.0</v>
      </c>
      <c r="G269" s="73" t="s">
        <v>3028</v>
      </c>
    </row>
    <row r="270">
      <c r="A270" s="73" t="s">
        <v>3044</v>
      </c>
      <c r="B270" s="77">
        <v>23.0</v>
      </c>
      <c r="C270" s="83">
        <v>0.02</v>
      </c>
      <c r="D270" s="74"/>
      <c r="E270" s="73" t="s">
        <v>3050</v>
      </c>
      <c r="F270" s="77">
        <v>41.0</v>
      </c>
      <c r="G270" s="73" t="s">
        <v>3028</v>
      </c>
    </row>
    <row r="271">
      <c r="A271" s="73" t="s">
        <v>78</v>
      </c>
      <c r="B271" s="77">
        <v>20.0</v>
      </c>
      <c r="C271" s="73" t="s">
        <v>3046</v>
      </c>
      <c r="D271" s="74"/>
      <c r="E271" s="73" t="s">
        <v>3051</v>
      </c>
      <c r="F271" s="77">
        <v>41.0</v>
      </c>
      <c r="G271" s="73" t="s">
        <v>3028</v>
      </c>
    </row>
    <row r="272">
      <c r="A272" s="73" t="s">
        <v>81</v>
      </c>
      <c r="B272" s="77">
        <v>18.0</v>
      </c>
      <c r="C272" s="73" t="s">
        <v>3048</v>
      </c>
      <c r="D272" s="74"/>
      <c r="E272" s="73" t="s">
        <v>3053</v>
      </c>
      <c r="F272" s="77">
        <v>41.0</v>
      </c>
      <c r="G272" s="73" t="s">
        <v>3028</v>
      </c>
    </row>
    <row r="273">
      <c r="A273" s="73" t="s">
        <v>34</v>
      </c>
      <c r="B273" s="77">
        <v>17.0</v>
      </c>
      <c r="C273" s="73" t="s">
        <v>3048</v>
      </c>
      <c r="D273" s="74"/>
      <c r="E273" s="73" t="s">
        <v>3040</v>
      </c>
      <c r="F273" s="77">
        <v>41.0</v>
      </c>
      <c r="G273" s="73" t="s">
        <v>3028</v>
      </c>
    </row>
    <row r="274">
      <c r="A274" s="73" t="s">
        <v>75</v>
      </c>
      <c r="B274" s="77">
        <v>17.0</v>
      </c>
      <c r="C274" s="73" t="s">
        <v>3048</v>
      </c>
      <c r="D274" s="74"/>
      <c r="E274" s="73" t="s">
        <v>3055</v>
      </c>
      <c r="F274" s="77">
        <v>41.0</v>
      </c>
      <c r="G274" s="73" t="s">
        <v>3028</v>
      </c>
    </row>
    <row r="275">
      <c r="A275" s="73" t="s">
        <v>48</v>
      </c>
      <c r="B275" s="77">
        <v>16.0</v>
      </c>
      <c r="C275" s="73" t="s">
        <v>3052</v>
      </c>
      <c r="D275" s="74"/>
      <c r="E275" s="73" t="s">
        <v>3063</v>
      </c>
      <c r="F275" s="77">
        <v>40.0</v>
      </c>
      <c r="G275" s="73" t="s">
        <v>3031</v>
      </c>
    </row>
    <row r="276">
      <c r="A276" s="73" t="s">
        <v>365</v>
      </c>
      <c r="B276" s="77">
        <v>15.0</v>
      </c>
      <c r="C276" s="73" t="s">
        <v>3054</v>
      </c>
      <c r="D276" s="74"/>
      <c r="E276" s="73" t="s">
        <v>3057</v>
      </c>
      <c r="F276" s="77">
        <v>40.0</v>
      </c>
      <c r="G276" s="73" t="s">
        <v>3031</v>
      </c>
    </row>
    <row r="277">
      <c r="A277" s="73" t="s">
        <v>129</v>
      </c>
      <c r="B277" s="77">
        <v>14.0</v>
      </c>
      <c r="C277" s="73" t="s">
        <v>3056</v>
      </c>
      <c r="D277" s="74"/>
      <c r="E277" s="73" t="s">
        <v>3059</v>
      </c>
      <c r="F277" s="77">
        <v>39.0</v>
      </c>
      <c r="G277" s="73" t="s">
        <v>3031</v>
      </c>
    </row>
    <row r="278">
      <c r="A278" s="73" t="s">
        <v>111</v>
      </c>
      <c r="B278" s="77">
        <v>13.0</v>
      </c>
      <c r="C278" s="73" t="s">
        <v>3058</v>
      </c>
      <c r="D278" s="74"/>
      <c r="E278" s="73" t="s">
        <v>3070</v>
      </c>
      <c r="F278" s="77">
        <v>39.0</v>
      </c>
      <c r="G278" s="73" t="s">
        <v>3031</v>
      </c>
    </row>
    <row r="279">
      <c r="A279" s="73" t="s">
        <v>3060</v>
      </c>
      <c r="B279" s="77">
        <v>13.0</v>
      </c>
      <c r="C279" s="73" t="s">
        <v>3058</v>
      </c>
      <c r="D279" s="74"/>
      <c r="E279" s="73" t="s">
        <v>3065</v>
      </c>
      <c r="F279" s="77">
        <v>39.0</v>
      </c>
      <c r="G279" s="73" t="s">
        <v>3031</v>
      </c>
    </row>
    <row r="280">
      <c r="A280" s="73" t="s">
        <v>132</v>
      </c>
      <c r="B280" s="77">
        <v>9.0</v>
      </c>
      <c r="C280" s="73" t="s">
        <v>3062</v>
      </c>
      <c r="D280" s="74"/>
      <c r="E280" s="73" t="s">
        <v>3067</v>
      </c>
      <c r="F280" s="77">
        <v>39.0</v>
      </c>
      <c r="G280" s="73" t="s">
        <v>3031</v>
      </c>
    </row>
    <row r="281">
      <c r="A281" s="73" t="s">
        <v>109</v>
      </c>
      <c r="B281" s="77">
        <v>8.0</v>
      </c>
      <c r="C281" s="73" t="s">
        <v>3064</v>
      </c>
      <c r="D281" s="74"/>
      <c r="E281" s="73" t="s">
        <v>3068</v>
      </c>
      <c r="F281" s="77">
        <v>38.0</v>
      </c>
      <c r="G281" s="73" t="s">
        <v>3033</v>
      </c>
    </row>
    <row r="282">
      <c r="A282" s="73" t="s">
        <v>127</v>
      </c>
      <c r="B282" s="77">
        <v>7.0</v>
      </c>
      <c r="C282" s="73" t="s">
        <v>3066</v>
      </c>
      <c r="D282" s="74"/>
      <c r="E282" s="73" t="s">
        <v>3061</v>
      </c>
      <c r="F282" s="77">
        <v>38.0</v>
      </c>
      <c r="G282" s="73" t="s">
        <v>3033</v>
      </c>
    </row>
    <row r="283">
      <c r="A283" s="73" t="s">
        <v>134</v>
      </c>
      <c r="B283" s="77">
        <v>7.0</v>
      </c>
      <c r="C283" s="73" t="s">
        <v>3066</v>
      </c>
      <c r="D283" s="74"/>
      <c r="E283" s="73" t="s">
        <v>3073</v>
      </c>
      <c r="F283" s="77">
        <v>38.0</v>
      </c>
      <c r="G283" s="73" t="s">
        <v>3033</v>
      </c>
    </row>
    <row r="284">
      <c r="A284" s="73" t="s">
        <v>107</v>
      </c>
      <c r="B284" s="77">
        <v>6.0</v>
      </c>
      <c r="C284" s="73" t="s">
        <v>3069</v>
      </c>
      <c r="D284" s="74"/>
      <c r="E284" s="73" t="s">
        <v>3076</v>
      </c>
      <c r="F284" s="77">
        <v>37.0</v>
      </c>
      <c r="G284" s="73" t="s">
        <v>3035</v>
      </c>
    </row>
    <row r="285">
      <c r="A285" s="73" t="s">
        <v>3071</v>
      </c>
      <c r="B285" s="77">
        <v>5.0</v>
      </c>
      <c r="C285" s="73" t="s">
        <v>3072</v>
      </c>
      <c r="D285" s="74"/>
      <c r="E285" s="73" t="s">
        <v>3080</v>
      </c>
      <c r="F285" s="77">
        <v>37.0</v>
      </c>
      <c r="G285" s="73" t="s">
        <v>3035</v>
      </c>
    </row>
    <row r="286">
      <c r="A286" s="73" t="s">
        <v>3074</v>
      </c>
      <c r="B286" s="77">
        <v>4.0</v>
      </c>
      <c r="C286" s="73" t="s">
        <v>3075</v>
      </c>
      <c r="D286" s="74"/>
      <c r="E286" s="73" t="s">
        <v>3081</v>
      </c>
      <c r="F286" s="77">
        <v>36.0</v>
      </c>
      <c r="G286" s="73" t="s">
        <v>3238</v>
      </c>
    </row>
    <row r="287">
      <c r="A287" s="73" t="s">
        <v>104</v>
      </c>
      <c r="B287" s="77">
        <v>2.0</v>
      </c>
      <c r="C287" s="73" t="s">
        <v>3077</v>
      </c>
      <c r="D287" s="74"/>
      <c r="E287" s="73" t="s">
        <v>3078</v>
      </c>
      <c r="F287" s="77">
        <v>35.0</v>
      </c>
      <c r="G287" s="83">
        <v>0.03</v>
      </c>
    </row>
    <row r="288">
      <c r="A288" s="74"/>
      <c r="B288" s="74"/>
      <c r="C288" s="83">
        <v>0.0</v>
      </c>
      <c r="D288" s="74"/>
      <c r="E288" s="73" t="s">
        <v>3079</v>
      </c>
      <c r="F288" s="77">
        <v>35.0</v>
      </c>
      <c r="G288" s="83">
        <v>0.03</v>
      </c>
    </row>
    <row r="289">
      <c r="A289" s="74"/>
      <c r="B289" s="74"/>
      <c r="C289" s="83">
        <v>0.0</v>
      </c>
      <c r="D289" s="74"/>
      <c r="E289" s="73" t="s">
        <v>3034</v>
      </c>
      <c r="F289" s="77">
        <v>33.0</v>
      </c>
      <c r="G289" s="73" t="s">
        <v>3037</v>
      </c>
    </row>
    <row r="290">
      <c r="A290" s="74"/>
      <c r="B290" s="74"/>
      <c r="C290" s="83">
        <v>0.0</v>
      </c>
      <c r="D290" s="74"/>
      <c r="E290" s="73" t="s">
        <v>3239</v>
      </c>
      <c r="F290" s="77">
        <v>33.0</v>
      </c>
      <c r="G290" s="73" t="s">
        <v>3037</v>
      </c>
    </row>
    <row r="291">
      <c r="A291" s="74"/>
      <c r="B291" s="74"/>
      <c r="C291" s="83">
        <v>0.0</v>
      </c>
      <c r="D291" s="74"/>
      <c r="E291" s="73" t="s">
        <v>3082</v>
      </c>
      <c r="F291" s="77">
        <v>33.0</v>
      </c>
      <c r="G291" s="73" t="s">
        <v>3037</v>
      </c>
    </row>
    <row r="292">
      <c r="A292" s="74"/>
      <c r="B292" s="74"/>
      <c r="C292" s="83">
        <v>0.0</v>
      </c>
      <c r="D292" s="74"/>
      <c r="E292" s="73" t="s">
        <v>3240</v>
      </c>
      <c r="F292" s="77">
        <v>32.0</v>
      </c>
      <c r="G292" s="73" t="s">
        <v>3037</v>
      </c>
    </row>
    <row r="293">
      <c r="A293" s="74"/>
      <c r="B293" s="74"/>
      <c r="C293" s="83">
        <v>0.0</v>
      </c>
      <c r="D293" s="74"/>
      <c r="E293" s="73" t="s">
        <v>3241</v>
      </c>
      <c r="F293" s="77">
        <v>32.0</v>
      </c>
      <c r="G293" s="73" t="s">
        <v>3037</v>
      </c>
    </row>
    <row r="294">
      <c r="A294" s="74"/>
      <c r="B294" s="74"/>
      <c r="C294" s="83">
        <v>0.0</v>
      </c>
      <c r="D294" s="74"/>
      <c r="E294" s="73" t="s">
        <v>3085</v>
      </c>
      <c r="F294" s="77">
        <v>32.0</v>
      </c>
      <c r="G294" s="73" t="s">
        <v>3037</v>
      </c>
    </row>
    <row r="295">
      <c r="A295" s="74"/>
      <c r="B295" s="74"/>
      <c r="C295" s="83">
        <v>0.0</v>
      </c>
      <c r="D295" s="74"/>
      <c r="E295" s="73" t="s">
        <v>2976</v>
      </c>
      <c r="F295" s="77">
        <v>31.0</v>
      </c>
      <c r="G295" s="73" t="s">
        <v>3242</v>
      </c>
    </row>
    <row r="296">
      <c r="A296" s="74"/>
      <c r="B296" s="74"/>
      <c r="C296" s="83">
        <v>0.0</v>
      </c>
      <c r="D296" s="74"/>
      <c r="E296" s="73" t="s">
        <v>3243</v>
      </c>
      <c r="F296" s="77">
        <v>30.0</v>
      </c>
      <c r="G296" s="73" t="s">
        <v>3087</v>
      </c>
    </row>
    <row r="297">
      <c r="A297" s="74"/>
      <c r="B297" s="74"/>
      <c r="C297" s="74"/>
      <c r="D297" s="74"/>
      <c r="E297" s="74"/>
      <c r="F297" s="74"/>
      <c r="G297" s="74"/>
    </row>
    <row r="298">
      <c r="A298" s="73" t="s">
        <v>3089</v>
      </c>
      <c r="B298" s="73" t="s">
        <v>3090</v>
      </c>
      <c r="C298" s="73" t="s">
        <v>3091</v>
      </c>
      <c r="D298" s="73" t="s">
        <v>3092</v>
      </c>
      <c r="E298" s="73" t="s">
        <v>3093</v>
      </c>
      <c r="F298" s="73" t="s">
        <v>3094</v>
      </c>
      <c r="G298" s="74"/>
    </row>
    <row r="299">
      <c r="A299" s="73" t="s">
        <v>3095</v>
      </c>
      <c r="B299" s="77">
        <v>8.0</v>
      </c>
      <c r="C299" s="77">
        <v>8.0</v>
      </c>
      <c r="D299" s="73" t="s">
        <v>3096</v>
      </c>
      <c r="E299" s="83">
        <v>0.17</v>
      </c>
      <c r="F299" s="73" t="s">
        <v>3097</v>
      </c>
      <c r="G299" s="74"/>
    </row>
    <row r="300">
      <c r="A300" s="73" t="s">
        <v>3098</v>
      </c>
      <c r="B300" s="77">
        <v>8.0</v>
      </c>
      <c r="C300" s="77">
        <v>4.0</v>
      </c>
      <c r="D300" s="83">
        <v>0.2</v>
      </c>
      <c r="E300" s="73" t="s">
        <v>3099</v>
      </c>
      <c r="F300" s="73" t="s">
        <v>3100</v>
      </c>
      <c r="G300" s="74"/>
    </row>
    <row r="301">
      <c r="A301" s="73" t="s">
        <v>3101</v>
      </c>
      <c r="B301" s="77">
        <v>7.0</v>
      </c>
      <c r="C301" s="77">
        <v>7.0</v>
      </c>
      <c r="D301" s="73" t="s">
        <v>3102</v>
      </c>
      <c r="E301" s="73" t="s">
        <v>3103</v>
      </c>
      <c r="F301" s="73" t="s">
        <v>3104</v>
      </c>
      <c r="G301" s="74"/>
    </row>
    <row r="302">
      <c r="A302" s="73" t="s">
        <v>3105</v>
      </c>
      <c r="B302" s="77">
        <v>7.0</v>
      </c>
      <c r="C302" s="77">
        <v>7.0</v>
      </c>
      <c r="D302" s="83">
        <v>1.0</v>
      </c>
      <c r="E302" s="83">
        <v>0.5</v>
      </c>
      <c r="F302" s="73" t="s">
        <v>3106</v>
      </c>
      <c r="G302" s="74"/>
    </row>
    <row r="303">
      <c r="A303" s="73" t="s">
        <v>3107</v>
      </c>
      <c r="B303" s="77">
        <v>7.0</v>
      </c>
      <c r="C303" s="77">
        <v>7.0</v>
      </c>
      <c r="D303" s="73" t="s">
        <v>3102</v>
      </c>
      <c r="E303" s="73" t="s">
        <v>3108</v>
      </c>
      <c r="F303" s="73" t="s">
        <v>3109</v>
      </c>
      <c r="G303" s="74"/>
    </row>
    <row r="304">
      <c r="A304" s="73" t="s">
        <v>3114</v>
      </c>
      <c r="B304" s="77">
        <v>5.0</v>
      </c>
      <c r="C304" s="77">
        <v>5.0</v>
      </c>
      <c r="D304" s="73" t="s">
        <v>3115</v>
      </c>
      <c r="E304" s="73" t="s">
        <v>3111</v>
      </c>
      <c r="F304" s="73" t="s">
        <v>3116</v>
      </c>
      <c r="G304" s="74"/>
    </row>
    <row r="305">
      <c r="A305" s="73" t="s">
        <v>3117</v>
      </c>
      <c r="B305" s="77">
        <v>5.0</v>
      </c>
      <c r="C305" s="77">
        <v>5.0</v>
      </c>
      <c r="D305" s="73" t="s">
        <v>3118</v>
      </c>
      <c r="E305" s="73" t="s">
        <v>3119</v>
      </c>
      <c r="F305" s="73" t="s">
        <v>3120</v>
      </c>
      <c r="G305" s="74"/>
    </row>
    <row r="306">
      <c r="A306" s="73" t="s">
        <v>3244</v>
      </c>
      <c r="B306" s="77">
        <v>4.0</v>
      </c>
      <c r="C306" s="77">
        <v>4.0</v>
      </c>
      <c r="D306" s="83">
        <v>0.07</v>
      </c>
      <c r="E306" s="73" t="s">
        <v>3245</v>
      </c>
      <c r="F306" s="73" t="s">
        <v>3104</v>
      </c>
      <c r="G306" s="74"/>
    </row>
    <row r="307">
      <c r="A307" s="73" t="s">
        <v>3121</v>
      </c>
      <c r="B307" s="77">
        <v>4.0</v>
      </c>
      <c r="C307" s="77">
        <v>4.0</v>
      </c>
      <c r="D307" s="73" t="s">
        <v>3122</v>
      </c>
      <c r="E307" s="73" t="s">
        <v>2971</v>
      </c>
      <c r="F307" s="73" t="s">
        <v>3123</v>
      </c>
      <c r="G307" s="74"/>
    </row>
    <row r="308">
      <c r="A308" s="73" t="s">
        <v>3124</v>
      </c>
      <c r="B308" s="77">
        <v>4.0</v>
      </c>
      <c r="C308" s="77">
        <v>4.0</v>
      </c>
      <c r="D308" s="73" t="s">
        <v>3125</v>
      </c>
      <c r="E308" s="73" t="s">
        <v>2991</v>
      </c>
      <c r="F308" s="73" t="s">
        <v>3126</v>
      </c>
      <c r="G308" s="74"/>
    </row>
    <row r="309">
      <c r="A309" s="73" t="s">
        <v>3132</v>
      </c>
      <c r="B309" s="77">
        <v>4.0</v>
      </c>
      <c r="C309" s="77">
        <v>4.0</v>
      </c>
      <c r="D309" s="73" t="s">
        <v>3246</v>
      </c>
      <c r="E309" s="83">
        <v>0.1</v>
      </c>
      <c r="F309" s="73" t="s">
        <v>3134</v>
      </c>
      <c r="G309" s="74"/>
    </row>
    <row r="310">
      <c r="A310" s="73" t="s">
        <v>3127</v>
      </c>
      <c r="B310" s="77">
        <v>3.0</v>
      </c>
      <c r="C310" s="77">
        <v>3.0</v>
      </c>
      <c r="D310" s="83">
        <v>0.13</v>
      </c>
      <c r="E310" s="83">
        <v>0.6</v>
      </c>
      <c r="F310" s="73" t="s">
        <v>3128</v>
      </c>
      <c r="G310" s="74"/>
    </row>
    <row r="311">
      <c r="A311" s="73" t="s">
        <v>3135</v>
      </c>
      <c r="B311" s="77">
        <v>3.0</v>
      </c>
      <c r="C311" s="77">
        <v>3.0</v>
      </c>
      <c r="D311" s="73" t="s">
        <v>3161</v>
      </c>
      <c r="E311" s="73" t="s">
        <v>3247</v>
      </c>
      <c r="F311" s="73" t="s">
        <v>3113</v>
      </c>
      <c r="G311" s="74"/>
    </row>
    <row r="312">
      <c r="A312" s="73" t="s">
        <v>3129</v>
      </c>
      <c r="B312" s="77">
        <v>3.0</v>
      </c>
      <c r="C312" s="77">
        <v>3.0</v>
      </c>
      <c r="D312" s="83">
        <v>0.5</v>
      </c>
      <c r="E312" s="73" t="s">
        <v>3130</v>
      </c>
      <c r="F312" s="73" t="s">
        <v>3131</v>
      </c>
      <c r="G312" s="74"/>
    </row>
    <row r="313">
      <c r="A313" s="73" t="s">
        <v>3248</v>
      </c>
      <c r="B313" s="77">
        <v>2.0</v>
      </c>
      <c r="C313" s="77">
        <v>2.0</v>
      </c>
      <c r="D313" s="73" t="s">
        <v>3028</v>
      </c>
      <c r="E313" s="73" t="s">
        <v>2998</v>
      </c>
      <c r="F313" s="73" t="s">
        <v>3104</v>
      </c>
      <c r="G313" s="74"/>
    </row>
    <row r="314">
      <c r="A314" s="73" t="s">
        <v>3139</v>
      </c>
      <c r="B314" s="77">
        <v>2.0</v>
      </c>
      <c r="C314" s="77">
        <v>2.0</v>
      </c>
      <c r="D314" s="73" t="s">
        <v>3011</v>
      </c>
      <c r="E314" s="73" t="s">
        <v>3026</v>
      </c>
      <c r="F314" s="73" t="s">
        <v>3140</v>
      </c>
      <c r="G314" s="74"/>
    </row>
    <row r="315">
      <c r="A315" s="73" t="s">
        <v>3141</v>
      </c>
      <c r="B315" s="77">
        <v>1.0</v>
      </c>
      <c r="C315" s="77">
        <v>1.0</v>
      </c>
      <c r="D315" s="73" t="s">
        <v>3142</v>
      </c>
      <c r="E315" s="73" t="s">
        <v>3142</v>
      </c>
      <c r="F315" s="73" t="s">
        <v>3143</v>
      </c>
      <c r="G315" s="74"/>
    </row>
    <row r="316">
      <c r="A316" s="73" t="s">
        <v>3249</v>
      </c>
      <c r="B316" s="77">
        <v>1.0</v>
      </c>
      <c r="C316" s="77">
        <v>1.0</v>
      </c>
      <c r="D316" s="83">
        <v>0.03</v>
      </c>
      <c r="E316" s="73" t="s">
        <v>3250</v>
      </c>
      <c r="F316" s="73" t="s">
        <v>3104</v>
      </c>
      <c r="G316" s="74"/>
    </row>
    <row r="317">
      <c r="A317" s="73" t="s">
        <v>3150</v>
      </c>
      <c r="B317" s="77">
        <v>1.0</v>
      </c>
      <c r="C317" s="77">
        <v>1.0</v>
      </c>
      <c r="D317" s="73" t="s">
        <v>3179</v>
      </c>
      <c r="E317" s="83">
        <v>0.2</v>
      </c>
      <c r="F317" s="73" t="s">
        <v>3151</v>
      </c>
      <c r="G317" s="74"/>
    </row>
    <row r="318">
      <c r="A318" s="73" t="s">
        <v>3251</v>
      </c>
      <c r="B318" s="77">
        <v>1.0</v>
      </c>
      <c r="C318" s="77">
        <v>1.0</v>
      </c>
      <c r="D318" s="73" t="s">
        <v>3115</v>
      </c>
      <c r="E318" s="73" t="s">
        <v>3000</v>
      </c>
      <c r="F318" s="73" t="s">
        <v>3140</v>
      </c>
      <c r="G318" s="74"/>
    </row>
    <row r="319">
      <c r="A319" s="74"/>
      <c r="B319" s="74"/>
      <c r="C319" s="74"/>
      <c r="D319" s="74"/>
      <c r="E319" s="74"/>
      <c r="F319" s="74"/>
      <c r="G319" s="74"/>
    </row>
    <row r="320">
      <c r="A320" s="73" t="s">
        <v>3152</v>
      </c>
      <c r="B320" s="73" t="s">
        <v>3090</v>
      </c>
      <c r="C320" s="73" t="s">
        <v>3153</v>
      </c>
      <c r="D320" s="73" t="s">
        <v>3092</v>
      </c>
      <c r="E320" s="73" t="s">
        <v>3093</v>
      </c>
      <c r="F320" s="73" t="s">
        <v>3094</v>
      </c>
      <c r="G320" s="74"/>
    </row>
    <row r="321">
      <c r="A321" s="73" t="s">
        <v>3154</v>
      </c>
      <c r="B321" s="77">
        <v>8.0</v>
      </c>
      <c r="C321" s="77">
        <v>8.0</v>
      </c>
      <c r="D321" s="73" t="s">
        <v>3096</v>
      </c>
      <c r="E321" s="83">
        <v>0.17</v>
      </c>
      <c r="F321" s="73" t="s">
        <v>3097</v>
      </c>
      <c r="G321" s="74"/>
    </row>
    <row r="322">
      <c r="A322" s="73" t="s">
        <v>3155</v>
      </c>
      <c r="B322" s="77">
        <v>8.0</v>
      </c>
      <c r="C322" s="77">
        <v>4.0</v>
      </c>
      <c r="D322" s="83">
        <v>0.2</v>
      </c>
      <c r="E322" s="73" t="s">
        <v>3099</v>
      </c>
      <c r="F322" s="73" t="s">
        <v>3100</v>
      </c>
      <c r="G322" s="74"/>
    </row>
    <row r="323">
      <c r="A323" s="73" t="s">
        <v>3156</v>
      </c>
      <c r="B323" s="77">
        <v>7.0</v>
      </c>
      <c r="C323" s="77">
        <v>7.0</v>
      </c>
      <c r="D323" s="73" t="s">
        <v>3102</v>
      </c>
      <c r="E323" s="73" t="s">
        <v>3103</v>
      </c>
      <c r="F323" s="73" t="s">
        <v>3104</v>
      </c>
      <c r="G323" s="74"/>
    </row>
    <row r="324">
      <c r="A324" s="73" t="s">
        <v>3158</v>
      </c>
      <c r="B324" s="77">
        <v>7.0</v>
      </c>
      <c r="C324" s="77">
        <v>7.0</v>
      </c>
      <c r="D324" s="83">
        <v>1.0</v>
      </c>
      <c r="E324" s="83">
        <v>0.5</v>
      </c>
      <c r="F324" s="73" t="s">
        <v>3106</v>
      </c>
      <c r="G324" s="74"/>
    </row>
    <row r="325">
      <c r="A325" s="73" t="s">
        <v>3159</v>
      </c>
      <c r="B325" s="77">
        <v>7.0</v>
      </c>
      <c r="C325" s="77">
        <v>7.0</v>
      </c>
      <c r="D325" s="73" t="s">
        <v>3102</v>
      </c>
      <c r="E325" s="73" t="s">
        <v>3108</v>
      </c>
      <c r="F325" s="73" t="s">
        <v>3109</v>
      </c>
      <c r="G325" s="74"/>
    </row>
    <row r="326">
      <c r="A326" s="73" t="s">
        <v>3252</v>
      </c>
      <c r="B326" s="77">
        <v>6.0</v>
      </c>
      <c r="C326" s="77">
        <v>120.0</v>
      </c>
      <c r="D326" s="73" t="s">
        <v>3000</v>
      </c>
      <c r="E326" s="73" t="s">
        <v>3000</v>
      </c>
      <c r="F326" s="73" t="s">
        <v>3104</v>
      </c>
      <c r="G326" s="74"/>
    </row>
    <row r="327">
      <c r="A327" s="73" t="s">
        <v>3160</v>
      </c>
      <c r="B327" s="77">
        <v>5.0</v>
      </c>
      <c r="C327" s="77">
        <v>19.0</v>
      </c>
      <c r="D327" s="73" t="s">
        <v>3115</v>
      </c>
      <c r="E327" s="73" t="s">
        <v>3161</v>
      </c>
      <c r="F327" s="73" t="s">
        <v>3116</v>
      </c>
      <c r="G327" s="74"/>
    </row>
    <row r="328">
      <c r="A328" s="73" t="s">
        <v>3162</v>
      </c>
      <c r="B328" s="77">
        <v>5.0</v>
      </c>
      <c r="C328" s="77">
        <v>5.0</v>
      </c>
      <c r="D328" s="73" t="s">
        <v>3118</v>
      </c>
      <c r="E328" s="73" t="s">
        <v>3119</v>
      </c>
      <c r="F328" s="73" t="s">
        <v>3120</v>
      </c>
      <c r="G328" s="74"/>
    </row>
    <row r="329">
      <c r="A329" s="73" t="s">
        <v>3163</v>
      </c>
      <c r="B329" s="77">
        <v>5.0</v>
      </c>
      <c r="C329" s="77">
        <v>5.0</v>
      </c>
      <c r="D329" s="73" t="s">
        <v>3164</v>
      </c>
      <c r="E329" s="73" t="s">
        <v>3165</v>
      </c>
      <c r="F329" s="73" t="s">
        <v>3166</v>
      </c>
      <c r="G329" s="74"/>
    </row>
    <row r="330">
      <c r="A330" s="73" t="s">
        <v>3167</v>
      </c>
      <c r="B330" s="77">
        <v>4.0</v>
      </c>
      <c r="C330" s="77">
        <v>21.0</v>
      </c>
      <c r="D330" s="73" t="s">
        <v>3122</v>
      </c>
      <c r="E330" s="73" t="s">
        <v>3136</v>
      </c>
      <c r="F330" s="73" t="s">
        <v>3123</v>
      </c>
      <c r="G330" s="74"/>
    </row>
    <row r="331">
      <c r="A331" s="73" t="s">
        <v>3168</v>
      </c>
      <c r="B331" s="77">
        <v>4.0</v>
      </c>
      <c r="C331" s="77">
        <v>4.0</v>
      </c>
      <c r="D331" s="73" t="s">
        <v>3125</v>
      </c>
      <c r="E331" s="73" t="s">
        <v>2991</v>
      </c>
      <c r="F331" s="73" t="s">
        <v>3126</v>
      </c>
      <c r="G331" s="74"/>
    </row>
    <row r="332">
      <c r="A332" s="73" t="s">
        <v>3169</v>
      </c>
      <c r="B332" s="77">
        <v>3.0</v>
      </c>
      <c r="C332" s="77">
        <v>3.0</v>
      </c>
      <c r="D332" s="83">
        <v>0.13</v>
      </c>
      <c r="E332" s="83">
        <v>0.6</v>
      </c>
      <c r="F332" s="73" t="s">
        <v>3128</v>
      </c>
      <c r="G332" s="74"/>
    </row>
    <row r="333">
      <c r="A333" s="73" t="s">
        <v>3171</v>
      </c>
      <c r="B333" s="77">
        <v>3.0</v>
      </c>
      <c r="C333" s="77">
        <v>14.0</v>
      </c>
      <c r="D333" s="73" t="s">
        <v>3253</v>
      </c>
      <c r="E333" s="73" t="s">
        <v>3000</v>
      </c>
      <c r="F333" s="73" t="s">
        <v>3113</v>
      </c>
      <c r="G333" s="74"/>
    </row>
    <row r="334">
      <c r="A334" s="73" t="s">
        <v>3170</v>
      </c>
      <c r="B334" s="77">
        <v>3.0</v>
      </c>
      <c r="C334" s="77">
        <v>3.0</v>
      </c>
      <c r="D334" s="83">
        <v>0.5</v>
      </c>
      <c r="E334" s="73" t="s">
        <v>3130</v>
      </c>
      <c r="F334" s="73" t="s">
        <v>3131</v>
      </c>
      <c r="G334" s="74"/>
    </row>
    <row r="335">
      <c r="A335" s="73" t="s">
        <v>3172</v>
      </c>
      <c r="B335" s="77">
        <v>2.0</v>
      </c>
      <c r="C335" s="77">
        <v>5.0</v>
      </c>
      <c r="D335" s="83">
        <v>0.02</v>
      </c>
      <c r="E335" s="73" t="s">
        <v>3026</v>
      </c>
      <c r="F335" s="73" t="s">
        <v>3140</v>
      </c>
      <c r="G335" s="74"/>
    </row>
    <row r="336">
      <c r="A336" s="73" t="s">
        <v>3173</v>
      </c>
      <c r="B336" s="77">
        <v>1.0</v>
      </c>
      <c r="C336" s="77">
        <v>1.0</v>
      </c>
      <c r="D336" s="73" t="s">
        <v>3058</v>
      </c>
      <c r="E336" s="73" t="s">
        <v>3142</v>
      </c>
      <c r="F336" s="73" t="s">
        <v>3143</v>
      </c>
      <c r="G336" s="74"/>
    </row>
    <row r="337">
      <c r="A337" s="73" t="s">
        <v>3254</v>
      </c>
      <c r="B337" s="77">
        <v>1.0</v>
      </c>
      <c r="C337" s="77">
        <v>1.0</v>
      </c>
      <c r="D337" s="83">
        <v>0.01</v>
      </c>
      <c r="E337" s="73" t="s">
        <v>3064</v>
      </c>
      <c r="F337" s="73" t="s">
        <v>3104</v>
      </c>
      <c r="G337" s="74"/>
    </row>
    <row r="338">
      <c r="A338" s="73" t="s">
        <v>3175</v>
      </c>
      <c r="B338" s="77">
        <v>1.0</v>
      </c>
      <c r="C338" s="77">
        <v>1.0</v>
      </c>
      <c r="D338" s="73" t="s">
        <v>3062</v>
      </c>
      <c r="E338" s="83">
        <v>0.2</v>
      </c>
      <c r="F338" s="73" t="s">
        <v>3151</v>
      </c>
      <c r="G338" s="74"/>
    </row>
    <row r="339">
      <c r="A339" s="73" t="s">
        <v>3176</v>
      </c>
      <c r="B339" s="77">
        <v>1.0</v>
      </c>
      <c r="C339" s="77">
        <v>1.0</v>
      </c>
      <c r="D339" s="73" t="s">
        <v>3115</v>
      </c>
      <c r="E339" s="73" t="s">
        <v>3000</v>
      </c>
      <c r="F339" s="73" t="s">
        <v>3140</v>
      </c>
      <c r="G339" s="74"/>
    </row>
    <row r="340">
      <c r="A340" s="73" t="s">
        <v>3177</v>
      </c>
      <c r="B340" s="77">
        <v>1.0</v>
      </c>
      <c r="C340" s="77">
        <v>1.0</v>
      </c>
      <c r="D340" s="73" t="s">
        <v>3178</v>
      </c>
      <c r="E340" s="73" t="s">
        <v>3179</v>
      </c>
      <c r="F340" s="73" t="s">
        <v>3131</v>
      </c>
      <c r="G340" s="74"/>
    </row>
    <row r="341">
      <c r="A341" s="74"/>
      <c r="B341" s="74"/>
      <c r="C341" s="74"/>
      <c r="D341" s="74"/>
      <c r="E341" s="74"/>
      <c r="F341" s="74"/>
      <c r="G341" s="74"/>
    </row>
    <row r="342">
      <c r="A342" s="73" t="s">
        <v>3180</v>
      </c>
      <c r="B342" s="73" t="s">
        <v>3181</v>
      </c>
      <c r="C342" s="74"/>
      <c r="D342" s="74"/>
      <c r="E342" s="73" t="s">
        <v>3182</v>
      </c>
      <c r="F342" s="73" t="s">
        <v>2908</v>
      </c>
      <c r="G342" s="74"/>
    </row>
    <row r="343">
      <c r="A343" s="73" t="s">
        <v>2975</v>
      </c>
      <c r="B343" s="77">
        <v>483.0</v>
      </c>
      <c r="C343" s="74"/>
      <c r="D343" s="74"/>
      <c r="E343" s="73" t="s">
        <v>111</v>
      </c>
      <c r="F343" s="77">
        <v>6.5</v>
      </c>
      <c r="G343" s="74"/>
    </row>
    <row r="344">
      <c r="A344" s="73" t="s">
        <v>2977</v>
      </c>
      <c r="B344" s="77">
        <v>454.0</v>
      </c>
      <c r="C344" s="74"/>
      <c r="D344" s="74"/>
      <c r="E344" s="73" t="s">
        <v>205</v>
      </c>
      <c r="F344" s="77">
        <v>6.0</v>
      </c>
      <c r="G344" s="74"/>
    </row>
    <row r="345">
      <c r="A345" s="73" t="s">
        <v>3017</v>
      </c>
      <c r="B345" s="77">
        <v>410.0</v>
      </c>
      <c r="C345" s="74"/>
      <c r="D345" s="74"/>
      <c r="E345" s="73" t="s">
        <v>129</v>
      </c>
      <c r="F345" s="77">
        <v>6.0</v>
      </c>
      <c r="G345" s="74"/>
    </row>
    <row r="346">
      <c r="A346" s="73" t="s">
        <v>187</v>
      </c>
      <c r="B346" s="77">
        <v>387.0</v>
      </c>
      <c r="C346" s="74"/>
      <c r="D346" s="74"/>
      <c r="E346" s="73" t="s">
        <v>365</v>
      </c>
      <c r="F346" s="77">
        <v>5.5</v>
      </c>
      <c r="G346" s="74"/>
    </row>
    <row r="347">
      <c r="A347" s="73" t="s">
        <v>171</v>
      </c>
      <c r="B347" s="77">
        <v>337.0</v>
      </c>
      <c r="C347" s="74"/>
      <c r="D347" s="74"/>
      <c r="E347" s="73" t="s">
        <v>169</v>
      </c>
      <c r="F347" s="77">
        <v>5.0</v>
      </c>
      <c r="G347" s="74"/>
    </row>
    <row r="348">
      <c r="A348" s="73" t="s">
        <v>169</v>
      </c>
      <c r="B348" s="77">
        <v>320.0</v>
      </c>
      <c r="C348" s="74"/>
      <c r="D348" s="74"/>
      <c r="E348" s="73" t="s">
        <v>3044</v>
      </c>
      <c r="F348" s="77">
        <v>5.0</v>
      </c>
      <c r="G348" s="74"/>
    </row>
    <row r="349">
      <c r="A349" s="73" t="s">
        <v>159</v>
      </c>
      <c r="B349" s="77">
        <v>273.0</v>
      </c>
      <c r="C349" s="74"/>
      <c r="D349" s="74"/>
      <c r="E349" s="73" t="s">
        <v>179</v>
      </c>
      <c r="F349" s="77">
        <v>4.0</v>
      </c>
      <c r="G349" s="74"/>
    </row>
    <row r="350">
      <c r="A350" s="73" t="s">
        <v>3008</v>
      </c>
      <c r="B350" s="77">
        <v>266.0</v>
      </c>
      <c r="C350" s="74"/>
      <c r="D350" s="74"/>
      <c r="E350" s="73" t="s">
        <v>207</v>
      </c>
      <c r="F350" s="77">
        <v>4.0</v>
      </c>
      <c r="G350" s="74"/>
    </row>
    <row r="351">
      <c r="A351" s="73" t="s">
        <v>414</v>
      </c>
      <c r="B351" s="77">
        <v>266.0</v>
      </c>
      <c r="C351" s="74"/>
      <c r="D351" s="74"/>
      <c r="E351" s="73" t="s">
        <v>78</v>
      </c>
      <c r="F351" s="77">
        <v>4.0</v>
      </c>
      <c r="G351" s="74"/>
    </row>
    <row r="352">
      <c r="A352" s="73" t="s">
        <v>165</v>
      </c>
      <c r="B352" s="77">
        <v>240.0</v>
      </c>
      <c r="C352" s="74"/>
      <c r="D352" s="74"/>
      <c r="E352" s="73" t="s">
        <v>45</v>
      </c>
      <c r="F352" s="77">
        <v>4.0</v>
      </c>
      <c r="G352" s="74"/>
    </row>
    <row r="353">
      <c r="A353" s="73" t="s">
        <v>167</v>
      </c>
      <c r="B353" s="77">
        <v>191.0</v>
      </c>
      <c r="C353" s="74"/>
      <c r="D353" s="74"/>
      <c r="E353" s="73" t="s">
        <v>134</v>
      </c>
      <c r="F353" s="77">
        <v>3.5</v>
      </c>
      <c r="G353" s="74"/>
    </row>
    <row r="354">
      <c r="A354" s="73" t="s">
        <v>2980</v>
      </c>
      <c r="B354" s="77">
        <v>185.0</v>
      </c>
      <c r="C354" s="74"/>
      <c r="D354" s="74"/>
      <c r="E354" s="73" t="s">
        <v>81</v>
      </c>
      <c r="F354" s="77">
        <v>3.5</v>
      </c>
      <c r="G354" s="74"/>
    </row>
    <row r="355">
      <c r="A355" s="73" t="s">
        <v>380</v>
      </c>
      <c r="B355" s="77">
        <v>178.0</v>
      </c>
      <c r="C355" s="74"/>
      <c r="D355" s="74"/>
      <c r="E355" s="73" t="s">
        <v>165</v>
      </c>
      <c r="F355" s="77">
        <v>3.0</v>
      </c>
      <c r="G355" s="74"/>
    </row>
    <row r="356">
      <c r="A356" s="73" t="s">
        <v>151</v>
      </c>
      <c r="B356" s="77">
        <v>161.0</v>
      </c>
      <c r="C356" s="74"/>
      <c r="D356" s="74"/>
      <c r="E356" s="73" t="s">
        <v>3030</v>
      </c>
      <c r="F356" s="77">
        <v>3.0</v>
      </c>
      <c r="G356" s="74"/>
    </row>
    <row r="357">
      <c r="A357" s="73" t="s">
        <v>158</v>
      </c>
      <c r="B357" s="77">
        <v>154.0</v>
      </c>
      <c r="C357" s="74"/>
      <c r="D357" s="74"/>
      <c r="E357" s="73" t="s">
        <v>187</v>
      </c>
      <c r="F357" s="77">
        <v>2.5</v>
      </c>
      <c r="G357" s="74"/>
    </row>
    <row r="358">
      <c r="A358" s="74"/>
      <c r="B358" s="74"/>
      <c r="C358" s="74"/>
      <c r="D358" s="74"/>
      <c r="E358" s="74"/>
      <c r="F358" s="74"/>
      <c r="G358" s="74"/>
    </row>
    <row r="359">
      <c r="A359" s="73" t="s">
        <v>3183</v>
      </c>
      <c r="B359" s="73" t="s">
        <v>3181</v>
      </c>
      <c r="C359" s="74"/>
      <c r="D359" s="74"/>
      <c r="E359" s="73" t="s">
        <v>3184</v>
      </c>
      <c r="F359" s="73" t="s">
        <v>2908</v>
      </c>
      <c r="G359" s="74"/>
    </row>
    <row r="360">
      <c r="A360" s="73" t="s">
        <v>2999</v>
      </c>
      <c r="B360" s="77">
        <v>410.0</v>
      </c>
      <c r="C360" s="74"/>
      <c r="D360" s="74"/>
      <c r="E360" s="73" t="s">
        <v>3185</v>
      </c>
      <c r="F360" s="77">
        <v>6.5</v>
      </c>
      <c r="G360" s="74"/>
    </row>
    <row r="361">
      <c r="A361" s="73" t="s">
        <v>2954</v>
      </c>
      <c r="B361" s="77">
        <v>387.0</v>
      </c>
      <c r="C361" s="74"/>
      <c r="D361" s="74"/>
      <c r="E361" s="73" t="s">
        <v>3186</v>
      </c>
      <c r="F361" s="77">
        <v>6.0</v>
      </c>
      <c r="G361" s="74"/>
    </row>
    <row r="362">
      <c r="A362" s="73" t="s">
        <v>2963</v>
      </c>
      <c r="B362" s="77">
        <v>320.0</v>
      </c>
      <c r="C362" s="74"/>
      <c r="D362" s="74"/>
      <c r="E362" s="73" t="s">
        <v>3187</v>
      </c>
      <c r="F362" s="77">
        <v>5.5</v>
      </c>
      <c r="G362" s="74"/>
    </row>
    <row r="363">
      <c r="A363" s="73" t="s">
        <v>2982</v>
      </c>
      <c r="B363" s="77">
        <v>266.0</v>
      </c>
      <c r="C363" s="74"/>
      <c r="D363" s="74"/>
      <c r="E363" s="73" t="s">
        <v>3188</v>
      </c>
      <c r="F363" s="77">
        <v>5.0</v>
      </c>
      <c r="G363" s="74"/>
    </row>
    <row r="364">
      <c r="A364" s="73" t="s">
        <v>3020</v>
      </c>
      <c r="B364" s="77">
        <v>266.0</v>
      </c>
      <c r="C364" s="74"/>
      <c r="D364" s="74"/>
      <c r="E364" s="73" t="s">
        <v>2969</v>
      </c>
      <c r="F364" s="77">
        <v>4.0</v>
      </c>
      <c r="G364" s="74"/>
    </row>
    <row r="365">
      <c r="A365" s="73" t="s">
        <v>3050</v>
      </c>
      <c r="B365" s="77">
        <v>244.0</v>
      </c>
      <c r="C365" s="74"/>
      <c r="D365" s="74"/>
      <c r="E365" s="73" t="s">
        <v>3019</v>
      </c>
      <c r="F365" s="77">
        <v>4.0</v>
      </c>
      <c r="G365" s="74"/>
    </row>
    <row r="366">
      <c r="A366" s="73" t="s">
        <v>2972</v>
      </c>
      <c r="B366" s="77">
        <v>202.0</v>
      </c>
      <c r="C366" s="74"/>
      <c r="D366" s="74"/>
      <c r="E366" s="73" t="s">
        <v>3189</v>
      </c>
      <c r="F366" s="77">
        <v>4.0</v>
      </c>
      <c r="G366" s="74"/>
    </row>
    <row r="367">
      <c r="A367" s="73" t="s">
        <v>3016</v>
      </c>
      <c r="B367" s="77">
        <v>182.0</v>
      </c>
      <c r="C367" s="74"/>
      <c r="D367" s="74"/>
      <c r="E367" s="73" t="s">
        <v>3190</v>
      </c>
      <c r="F367" s="77">
        <v>4.0</v>
      </c>
      <c r="G367" s="74"/>
    </row>
    <row r="368">
      <c r="A368" s="73" t="s">
        <v>3063</v>
      </c>
      <c r="B368" s="77">
        <v>175.0</v>
      </c>
      <c r="C368" s="74"/>
      <c r="D368" s="74"/>
      <c r="E368" s="73" t="s">
        <v>3016</v>
      </c>
      <c r="F368" s="77">
        <v>3.5</v>
      </c>
      <c r="G368" s="74"/>
    </row>
    <row r="369">
      <c r="A369" s="73" t="s">
        <v>2960</v>
      </c>
      <c r="B369" s="77">
        <v>163.0</v>
      </c>
      <c r="C369" s="74"/>
      <c r="D369" s="74"/>
      <c r="E369" s="73" t="s">
        <v>3079</v>
      </c>
      <c r="F369" s="77">
        <v>3.5</v>
      </c>
      <c r="G369" s="74"/>
    </row>
    <row r="370">
      <c r="A370" s="73" t="s">
        <v>3068</v>
      </c>
      <c r="B370" s="77">
        <v>152.0</v>
      </c>
      <c r="C370" s="74"/>
      <c r="D370" s="74"/>
      <c r="E370" s="73" t="s">
        <v>3191</v>
      </c>
      <c r="F370" s="77">
        <v>3.5</v>
      </c>
      <c r="G370" s="74"/>
    </row>
    <row r="371">
      <c r="A371" s="73" t="s">
        <v>3038</v>
      </c>
      <c r="B371" s="77">
        <v>149.0</v>
      </c>
      <c r="C371" s="74"/>
      <c r="D371" s="74"/>
      <c r="E371" s="73" t="s">
        <v>3192</v>
      </c>
      <c r="F371" s="77">
        <v>3.5</v>
      </c>
      <c r="G371" s="74"/>
    </row>
    <row r="372">
      <c r="A372" s="73" t="s">
        <v>2974</v>
      </c>
      <c r="B372" s="77">
        <v>135.0</v>
      </c>
      <c r="C372" s="74"/>
      <c r="D372" s="74"/>
      <c r="E372" s="73" t="s">
        <v>3057</v>
      </c>
      <c r="F372" s="77">
        <v>3.0</v>
      </c>
      <c r="G372" s="74"/>
    </row>
    <row r="373">
      <c r="A373" s="73" t="s">
        <v>3088</v>
      </c>
      <c r="B373" s="77">
        <v>128.0</v>
      </c>
      <c r="C373" s="74"/>
      <c r="D373" s="74"/>
      <c r="E373" s="73" t="s">
        <v>2954</v>
      </c>
      <c r="F373" s="77">
        <v>2.5</v>
      </c>
      <c r="G373" s="74"/>
    </row>
    <row r="374">
      <c r="A374" s="73" t="s">
        <v>3051</v>
      </c>
      <c r="B374" s="77">
        <v>128.0</v>
      </c>
      <c r="C374" s="74"/>
      <c r="D374" s="74"/>
      <c r="E374" s="73" t="s">
        <v>3078</v>
      </c>
      <c r="F374" s="77">
        <v>2.5</v>
      </c>
      <c r="G374" s="74"/>
    </row>
    <row r="375">
      <c r="A375" s="74"/>
      <c r="B375" s="74"/>
      <c r="C375" s="74"/>
      <c r="D375" s="74"/>
      <c r="E375" s="74"/>
      <c r="F375" s="74"/>
      <c r="G375" s="74"/>
    </row>
    <row r="376">
      <c r="A376" s="73" t="s">
        <v>3193</v>
      </c>
      <c r="B376" s="73" t="s">
        <v>3194</v>
      </c>
      <c r="C376" s="73" t="s">
        <v>3195</v>
      </c>
      <c r="D376" s="73" t="s">
        <v>3196</v>
      </c>
      <c r="E376" s="73" t="s">
        <v>3197</v>
      </c>
      <c r="F376" s="73" t="s">
        <v>3198</v>
      </c>
      <c r="G376" s="73" t="s">
        <v>3199</v>
      </c>
    </row>
    <row r="377">
      <c r="A377" s="73" t="s">
        <v>169</v>
      </c>
      <c r="B377" s="77">
        <v>3.0</v>
      </c>
      <c r="C377" s="77">
        <v>141.0</v>
      </c>
      <c r="D377" s="77">
        <v>47.0</v>
      </c>
      <c r="E377" s="77">
        <v>7.07</v>
      </c>
      <c r="F377" s="77">
        <v>0.15</v>
      </c>
      <c r="G377" s="73" t="s">
        <v>3255</v>
      </c>
    </row>
    <row r="378">
      <c r="A378" s="73" t="s">
        <v>380</v>
      </c>
      <c r="B378" s="77">
        <v>4.0</v>
      </c>
      <c r="C378" s="77">
        <v>132.0</v>
      </c>
      <c r="D378" s="77">
        <v>33.0</v>
      </c>
      <c r="E378" s="77">
        <v>3.54</v>
      </c>
      <c r="F378" s="77">
        <v>0.107</v>
      </c>
      <c r="G378" s="73" t="s">
        <v>3256</v>
      </c>
    </row>
    <row r="379">
      <c r="A379" s="73" t="s">
        <v>396</v>
      </c>
      <c r="B379" s="77">
        <v>2.0</v>
      </c>
      <c r="C379" s="77">
        <v>62.0</v>
      </c>
      <c r="D379" s="77">
        <v>31.0</v>
      </c>
      <c r="E379" s="77">
        <v>1.0</v>
      </c>
      <c r="F379" s="77">
        <v>0.032</v>
      </c>
      <c r="G379" s="73" t="s">
        <v>3208</v>
      </c>
    </row>
    <row r="380">
      <c r="A380" s="73" t="s">
        <v>165</v>
      </c>
      <c r="B380" s="77">
        <v>3.0</v>
      </c>
      <c r="C380" s="77">
        <v>138.0</v>
      </c>
      <c r="D380" s="77">
        <v>46.0</v>
      </c>
      <c r="E380" s="77">
        <v>0.82</v>
      </c>
      <c r="F380" s="77">
        <v>0.018</v>
      </c>
      <c r="G380" s="73" t="s">
        <v>3257</v>
      </c>
    </row>
    <row r="381">
      <c r="A381" s="73" t="s">
        <v>181</v>
      </c>
      <c r="B381" s="77">
        <v>3.0</v>
      </c>
      <c r="C381" s="77">
        <v>86.0</v>
      </c>
      <c r="D381" s="77">
        <v>28.67</v>
      </c>
      <c r="E381" s="77">
        <v>0.47</v>
      </c>
      <c r="F381" s="77">
        <v>0.016</v>
      </c>
      <c r="G381" s="73" t="s">
        <v>3258</v>
      </c>
    </row>
    <row r="382">
      <c r="A382" s="73" t="s">
        <v>3001</v>
      </c>
      <c r="B382" s="77">
        <v>2.0</v>
      </c>
      <c r="C382" s="77">
        <v>63.0</v>
      </c>
      <c r="D382" s="77">
        <v>31.5</v>
      </c>
      <c r="E382" s="77">
        <v>0.5</v>
      </c>
      <c r="F382" s="77">
        <v>0.016</v>
      </c>
      <c r="G382" s="73" t="s">
        <v>3259</v>
      </c>
    </row>
    <row r="383">
      <c r="A383" s="73" t="s">
        <v>159</v>
      </c>
      <c r="B383" s="77">
        <v>6.0</v>
      </c>
      <c r="C383" s="77">
        <v>196.0</v>
      </c>
      <c r="D383" s="77">
        <v>32.67</v>
      </c>
      <c r="E383" s="77">
        <v>0.47</v>
      </c>
      <c r="F383" s="77">
        <v>0.014</v>
      </c>
      <c r="G383" s="73" t="s">
        <v>3260</v>
      </c>
    </row>
    <row r="384">
      <c r="A384" s="73" t="s">
        <v>159</v>
      </c>
      <c r="B384" s="77">
        <v>6.0</v>
      </c>
      <c r="C384" s="77">
        <v>196.0</v>
      </c>
      <c r="D384" s="77">
        <v>32.67</v>
      </c>
      <c r="E384" s="77">
        <v>0.47</v>
      </c>
      <c r="F384" s="77">
        <v>0.014</v>
      </c>
      <c r="G384" s="73" t="s">
        <v>3260</v>
      </c>
    </row>
    <row r="385">
      <c r="A385" s="73" t="s">
        <v>149</v>
      </c>
      <c r="B385" s="77">
        <v>4.0</v>
      </c>
      <c r="C385" s="77">
        <v>154.0</v>
      </c>
      <c r="D385" s="77">
        <v>38.5</v>
      </c>
      <c r="E385" s="77">
        <v>0.5</v>
      </c>
      <c r="F385" s="77">
        <v>0.013</v>
      </c>
      <c r="G385" s="73" t="s">
        <v>3261</v>
      </c>
    </row>
    <row r="386">
      <c r="A386" s="73" t="s">
        <v>2980</v>
      </c>
      <c r="B386" s="77">
        <v>3.0</v>
      </c>
      <c r="C386" s="77">
        <v>122.0</v>
      </c>
      <c r="D386" s="77">
        <v>40.67</v>
      </c>
      <c r="E386" s="77">
        <v>0.47</v>
      </c>
      <c r="F386" s="77">
        <v>0.012</v>
      </c>
      <c r="G386" s="73" t="s">
        <v>3262</v>
      </c>
    </row>
    <row r="387">
      <c r="A387" s="73" t="s">
        <v>167</v>
      </c>
      <c r="B387" s="77">
        <v>3.0</v>
      </c>
      <c r="C387" s="77">
        <v>127.0</v>
      </c>
      <c r="D387" s="77">
        <v>42.33</v>
      </c>
      <c r="E387" s="77">
        <v>0.47</v>
      </c>
      <c r="F387" s="77">
        <v>0.011</v>
      </c>
      <c r="G387" s="73" t="s">
        <v>3263</v>
      </c>
    </row>
    <row r="388">
      <c r="A388" s="73" t="s">
        <v>2975</v>
      </c>
      <c r="B388" s="77">
        <v>2.0</v>
      </c>
      <c r="C388" s="77">
        <v>127.0</v>
      </c>
      <c r="D388" s="77">
        <v>63.5</v>
      </c>
      <c r="E388" s="77">
        <v>0.5</v>
      </c>
      <c r="F388" s="77">
        <v>0.008</v>
      </c>
      <c r="G388" s="73" t="s">
        <v>3211</v>
      </c>
    </row>
    <row r="389">
      <c r="A389" s="73" t="s">
        <v>20</v>
      </c>
      <c r="B389" s="77">
        <v>3.0</v>
      </c>
      <c r="C389" s="77">
        <v>150.0</v>
      </c>
      <c r="D389" s="77">
        <v>50.0</v>
      </c>
      <c r="E389" s="77">
        <v>0.0</v>
      </c>
      <c r="F389" s="77">
        <v>0.0</v>
      </c>
      <c r="G389" s="73" t="s">
        <v>3264</v>
      </c>
    </row>
    <row r="390">
      <c r="A390" s="73" t="s">
        <v>151</v>
      </c>
      <c r="B390" s="77">
        <v>3.0</v>
      </c>
      <c r="C390" s="77">
        <v>147.0</v>
      </c>
      <c r="D390" s="77">
        <v>49.0</v>
      </c>
      <c r="E390" s="77">
        <v>0.0</v>
      </c>
      <c r="F390" s="77">
        <v>0.0</v>
      </c>
      <c r="G390" s="73" t="s">
        <v>3212</v>
      </c>
    </row>
    <row r="391">
      <c r="A391" s="73" t="s">
        <v>158</v>
      </c>
      <c r="B391" s="77">
        <v>3.0</v>
      </c>
      <c r="C391" s="77">
        <v>168.0</v>
      </c>
      <c r="D391" s="77">
        <v>56.0</v>
      </c>
      <c r="E391" s="77">
        <v>0.0</v>
      </c>
      <c r="F391" s="77">
        <v>0.0</v>
      </c>
      <c r="G391" s="73" t="s">
        <v>3265</v>
      </c>
    </row>
    <row r="392">
      <c r="A392" s="73" t="s">
        <v>171</v>
      </c>
      <c r="B392" s="77">
        <v>2.0</v>
      </c>
      <c r="C392" s="77">
        <v>116.0</v>
      </c>
      <c r="D392" s="77">
        <v>58.0</v>
      </c>
      <c r="E392" s="77">
        <v>0.0</v>
      </c>
      <c r="F392" s="77">
        <v>0.0</v>
      </c>
      <c r="G392" s="73" t="s">
        <v>3214</v>
      </c>
    </row>
    <row r="393">
      <c r="A393" s="73" t="s">
        <v>184</v>
      </c>
      <c r="B393" s="77">
        <v>2.0</v>
      </c>
      <c r="C393" s="77">
        <v>90.0</v>
      </c>
      <c r="D393" s="77">
        <v>45.0</v>
      </c>
      <c r="E393" s="77">
        <v>0.0</v>
      </c>
      <c r="F393" s="77">
        <v>0.0</v>
      </c>
      <c r="G393" s="73" t="s">
        <v>3215</v>
      </c>
    </row>
    <row r="394">
      <c r="A394" s="73" t="s">
        <v>205</v>
      </c>
      <c r="B394" s="77">
        <v>2.0</v>
      </c>
      <c r="C394" s="77">
        <v>70.0</v>
      </c>
      <c r="D394" s="77">
        <v>35.0</v>
      </c>
      <c r="E394" s="77">
        <v>0.0</v>
      </c>
      <c r="F394" s="77">
        <v>0.0</v>
      </c>
      <c r="G394" s="73" t="s">
        <v>3216</v>
      </c>
    </row>
    <row r="395">
      <c r="A395" s="73" t="s">
        <v>2977</v>
      </c>
      <c r="B395" s="77">
        <v>3.0</v>
      </c>
      <c r="C395" s="77">
        <v>123.0</v>
      </c>
      <c r="D395" s="77">
        <v>41.0</v>
      </c>
      <c r="E395" s="77">
        <v>0.0</v>
      </c>
      <c r="F395" s="77">
        <v>0.0</v>
      </c>
      <c r="G395" s="73" t="s">
        <v>3217</v>
      </c>
    </row>
    <row r="396">
      <c r="A396" s="73" t="s">
        <v>400</v>
      </c>
      <c r="B396" s="77">
        <v>2.0</v>
      </c>
      <c r="C396" s="77">
        <v>98.0</v>
      </c>
      <c r="D396" s="77">
        <v>49.0</v>
      </c>
      <c r="E396" s="77">
        <v>0.0</v>
      </c>
      <c r="F396" s="77">
        <v>0.0</v>
      </c>
      <c r="G396" s="73" t="s">
        <v>3218</v>
      </c>
    </row>
    <row r="397">
      <c r="A397" s="73" t="s">
        <v>403</v>
      </c>
      <c r="B397" s="77">
        <v>2.0</v>
      </c>
      <c r="C397" s="77">
        <v>78.0</v>
      </c>
      <c r="D397" s="77">
        <v>39.0</v>
      </c>
      <c r="E397" s="77">
        <v>0.0</v>
      </c>
      <c r="F397" s="77">
        <v>0.0</v>
      </c>
      <c r="G397" s="73" t="s">
        <v>3219</v>
      </c>
    </row>
    <row r="398">
      <c r="A398" s="74"/>
      <c r="B398" s="74"/>
      <c r="C398" s="74"/>
      <c r="D398" s="74"/>
      <c r="E398" s="74"/>
      <c r="F398" s="74"/>
      <c r="G398" s="74"/>
    </row>
    <row r="399">
      <c r="A399" s="74"/>
      <c r="B399" s="74"/>
      <c r="C399" s="74"/>
      <c r="D399" s="74"/>
      <c r="E399" s="74"/>
      <c r="F399" s="74"/>
      <c r="G399" s="74"/>
    </row>
    <row r="400">
      <c r="A400" s="73" t="s">
        <v>3266</v>
      </c>
      <c r="B400" s="74"/>
      <c r="C400" s="74"/>
      <c r="D400" s="74"/>
      <c r="E400" s="74"/>
      <c r="F400" s="74"/>
      <c r="G400" s="74"/>
    </row>
    <row r="401">
      <c r="A401" s="73" t="s">
        <v>3267</v>
      </c>
      <c r="B401" s="73" t="s">
        <v>3194</v>
      </c>
      <c r="C401" s="73" t="s">
        <v>3195</v>
      </c>
      <c r="D401" s="73" t="s">
        <v>3268</v>
      </c>
      <c r="E401" s="73" t="s">
        <v>3269</v>
      </c>
      <c r="F401" s="73" t="s">
        <v>3270</v>
      </c>
      <c r="G401" s="73" t="s">
        <v>3271</v>
      </c>
    </row>
    <row r="402">
      <c r="A402" s="73" t="s">
        <v>149</v>
      </c>
      <c r="B402" s="77">
        <v>4.0</v>
      </c>
      <c r="C402" s="77">
        <v>154.0</v>
      </c>
      <c r="D402" s="77">
        <v>0.013</v>
      </c>
      <c r="E402" s="73" t="s">
        <v>3210</v>
      </c>
      <c r="F402" s="77">
        <v>0.013</v>
      </c>
      <c r="G402" s="73" t="s">
        <v>3261</v>
      </c>
    </row>
    <row r="403">
      <c r="A403" s="73" t="s">
        <v>151</v>
      </c>
      <c r="B403" s="77">
        <v>3.0</v>
      </c>
      <c r="C403" s="77">
        <v>147.0</v>
      </c>
      <c r="D403" s="77">
        <v>0.0</v>
      </c>
      <c r="E403" s="73" t="s">
        <v>3212</v>
      </c>
      <c r="F403" s="77">
        <v>0.0</v>
      </c>
      <c r="G403" s="73" t="s">
        <v>3212</v>
      </c>
    </row>
    <row r="404">
      <c r="A404" s="73" t="s">
        <v>20</v>
      </c>
      <c r="B404" s="77">
        <v>3.0</v>
      </c>
      <c r="C404" s="77">
        <v>150.0</v>
      </c>
      <c r="D404" s="77">
        <v>0.085</v>
      </c>
      <c r="E404" s="73" t="s">
        <v>3203</v>
      </c>
      <c r="F404" s="77">
        <v>0.0</v>
      </c>
      <c r="G404" s="73" t="s">
        <v>3264</v>
      </c>
    </row>
    <row r="405">
      <c r="A405" s="73" t="s">
        <v>158</v>
      </c>
      <c r="B405" s="77">
        <v>3.0</v>
      </c>
      <c r="C405" s="77">
        <v>168.0</v>
      </c>
      <c r="D405" s="77">
        <v>0.067</v>
      </c>
      <c r="E405" s="73" t="s">
        <v>3205</v>
      </c>
      <c r="F405" s="77">
        <v>0.0</v>
      </c>
      <c r="G405" s="73" t="s">
        <v>3265</v>
      </c>
    </row>
    <row r="406">
      <c r="A406" s="73" t="s">
        <v>159</v>
      </c>
      <c r="B406" s="77">
        <v>6.0</v>
      </c>
      <c r="C406" s="77">
        <v>196.0</v>
      </c>
      <c r="D406" s="77">
        <v>0.245</v>
      </c>
      <c r="E406" s="73" t="s">
        <v>3201</v>
      </c>
      <c r="F406" s="77">
        <v>0.014</v>
      </c>
      <c r="G406" s="73" t="s">
        <v>3260</v>
      </c>
    </row>
    <row r="407">
      <c r="A407" s="73" t="s">
        <v>167</v>
      </c>
      <c r="B407" s="77">
        <v>3.0</v>
      </c>
      <c r="C407" s="77">
        <v>127.0</v>
      </c>
      <c r="D407" s="77">
        <v>0.029</v>
      </c>
      <c r="E407" s="73" t="s">
        <v>3209</v>
      </c>
      <c r="F407" s="77">
        <v>0.011</v>
      </c>
      <c r="G407" s="73" t="s">
        <v>3263</v>
      </c>
    </row>
    <row r="408">
      <c r="A408" s="73" t="s">
        <v>169</v>
      </c>
      <c r="B408" s="77">
        <v>3.0</v>
      </c>
      <c r="C408" s="77">
        <v>141.0</v>
      </c>
      <c r="D408" s="77">
        <v>0.0</v>
      </c>
      <c r="E408" s="73" t="s">
        <v>3213</v>
      </c>
      <c r="F408" s="77">
        <v>0.15</v>
      </c>
      <c r="G408" s="73" t="s">
        <v>3255</v>
      </c>
    </row>
    <row r="409">
      <c r="A409" s="73" t="s">
        <v>165</v>
      </c>
      <c r="B409" s="77">
        <v>3.0</v>
      </c>
      <c r="C409" s="77">
        <v>138.0</v>
      </c>
      <c r="D409" s="77">
        <v>0.061</v>
      </c>
      <c r="E409" s="73" t="s">
        <v>3206</v>
      </c>
      <c r="F409" s="77">
        <v>0.018</v>
      </c>
      <c r="G409" s="73" t="s">
        <v>3257</v>
      </c>
    </row>
    <row r="410">
      <c r="A410" s="73" t="s">
        <v>171</v>
      </c>
      <c r="B410" s="77">
        <v>2.0</v>
      </c>
      <c r="C410" s="77">
        <v>116.0</v>
      </c>
      <c r="D410" s="77">
        <v>0.0</v>
      </c>
      <c r="E410" s="73" t="s">
        <v>3214</v>
      </c>
      <c r="F410" s="77">
        <v>0.0</v>
      </c>
      <c r="G410" s="73" t="s">
        <v>3214</v>
      </c>
    </row>
    <row r="411">
      <c r="A411" s="73" t="s">
        <v>181</v>
      </c>
      <c r="B411" s="77">
        <v>3.0</v>
      </c>
      <c r="C411" s="77">
        <v>86.0</v>
      </c>
      <c r="D411" s="77">
        <v>0.119</v>
      </c>
      <c r="E411" s="73" t="s">
        <v>3202</v>
      </c>
      <c r="F411" s="77">
        <v>0.016</v>
      </c>
      <c r="G411" s="73" t="s">
        <v>3258</v>
      </c>
    </row>
    <row r="412">
      <c r="A412" s="73" t="s">
        <v>184</v>
      </c>
      <c r="B412" s="77">
        <v>2.0</v>
      </c>
      <c r="C412" s="77">
        <v>90.0</v>
      </c>
      <c r="D412" s="77">
        <v>0.0</v>
      </c>
      <c r="E412" s="73" t="s">
        <v>3215</v>
      </c>
      <c r="F412" s="77">
        <v>0.0</v>
      </c>
      <c r="G412" s="73" t="s">
        <v>3215</v>
      </c>
    </row>
    <row r="413">
      <c r="A413" s="73" t="s">
        <v>205</v>
      </c>
      <c r="B413" s="77">
        <v>2.0</v>
      </c>
      <c r="C413" s="77">
        <v>70.0</v>
      </c>
      <c r="D413" s="77">
        <v>0.0</v>
      </c>
      <c r="E413" s="73" t="s">
        <v>3216</v>
      </c>
      <c r="F413" s="77">
        <v>0.0</v>
      </c>
      <c r="G413" s="73" t="s">
        <v>3216</v>
      </c>
    </row>
    <row r="414">
      <c r="A414" s="73" t="s">
        <v>3001</v>
      </c>
      <c r="B414" s="77">
        <v>2.0</v>
      </c>
      <c r="C414" s="77">
        <v>63.0</v>
      </c>
      <c r="D414" s="77">
        <v>0.841</v>
      </c>
      <c r="E414" s="73" t="s">
        <v>3200</v>
      </c>
      <c r="F414" s="77">
        <v>0.016</v>
      </c>
      <c r="G414" s="73" t="s">
        <v>3259</v>
      </c>
    </row>
    <row r="415">
      <c r="A415" s="73" t="s">
        <v>380</v>
      </c>
      <c r="B415" s="77">
        <v>4.0</v>
      </c>
      <c r="C415" s="77">
        <v>132.0</v>
      </c>
      <c r="D415" s="77">
        <v>0.074</v>
      </c>
      <c r="E415" s="73" t="s">
        <v>3204</v>
      </c>
      <c r="F415" s="77">
        <v>0.107</v>
      </c>
      <c r="G415" s="73" t="s">
        <v>3256</v>
      </c>
    </row>
    <row r="416">
      <c r="A416" s="73" t="s">
        <v>2977</v>
      </c>
      <c r="B416" s="77">
        <v>3.0</v>
      </c>
      <c r="C416" s="77">
        <v>123.0</v>
      </c>
      <c r="D416" s="77">
        <v>0.0</v>
      </c>
      <c r="E416" s="73" t="s">
        <v>3217</v>
      </c>
      <c r="F416" s="77">
        <v>0.0</v>
      </c>
      <c r="G416" s="73" t="s">
        <v>3217</v>
      </c>
    </row>
    <row r="417">
      <c r="A417" s="73" t="s">
        <v>2980</v>
      </c>
      <c r="B417" s="77">
        <v>3.0</v>
      </c>
      <c r="C417" s="77">
        <v>122.0</v>
      </c>
      <c r="D417" s="77">
        <v>0.042</v>
      </c>
      <c r="E417" s="73" t="s">
        <v>3207</v>
      </c>
      <c r="F417" s="77">
        <v>0.012</v>
      </c>
      <c r="G417" s="73" t="s">
        <v>3262</v>
      </c>
    </row>
    <row r="418">
      <c r="A418" s="73" t="s">
        <v>2975</v>
      </c>
      <c r="B418" s="77">
        <v>2.0</v>
      </c>
      <c r="C418" s="77">
        <v>127.0</v>
      </c>
      <c r="D418" s="77">
        <v>0.008</v>
      </c>
      <c r="E418" s="73" t="s">
        <v>3211</v>
      </c>
      <c r="F418" s="77">
        <v>0.008</v>
      </c>
      <c r="G418" s="73" t="s">
        <v>3211</v>
      </c>
    </row>
    <row r="419">
      <c r="A419" s="73" t="s">
        <v>396</v>
      </c>
      <c r="B419" s="77">
        <v>2.0</v>
      </c>
      <c r="C419" s="77">
        <v>62.0</v>
      </c>
      <c r="D419" s="77">
        <v>0.032</v>
      </c>
      <c r="E419" s="73" t="s">
        <v>3208</v>
      </c>
      <c r="F419" s="77">
        <v>0.032</v>
      </c>
      <c r="G419" s="73" t="s">
        <v>3208</v>
      </c>
    </row>
    <row r="420">
      <c r="A420" s="73" t="s">
        <v>400</v>
      </c>
      <c r="B420" s="77">
        <v>2.0</v>
      </c>
      <c r="C420" s="77">
        <v>98.0</v>
      </c>
      <c r="D420" s="77">
        <v>0.0</v>
      </c>
      <c r="E420" s="73" t="s">
        <v>3218</v>
      </c>
      <c r="F420" s="77">
        <v>0.0</v>
      </c>
      <c r="G420" s="73" t="s">
        <v>3218</v>
      </c>
    </row>
    <row r="421">
      <c r="A421" s="73" t="s">
        <v>403</v>
      </c>
      <c r="B421" s="77">
        <v>2.0</v>
      </c>
      <c r="C421" s="77">
        <v>78.0</v>
      </c>
      <c r="D421" s="77">
        <v>0.0</v>
      </c>
      <c r="E421" s="73" t="s">
        <v>3219</v>
      </c>
      <c r="F421" s="77">
        <v>0.0</v>
      </c>
      <c r="G421" s="73" t="s">
        <v>3219</v>
      </c>
    </row>
    <row r="422">
      <c r="A422" s="74"/>
      <c r="B422" s="74"/>
      <c r="C422" s="74"/>
      <c r="D422" s="74"/>
      <c r="E422" s="74"/>
      <c r="F422" s="74"/>
      <c r="G422" s="74"/>
    </row>
    <row r="423">
      <c r="A423" s="74"/>
      <c r="B423" s="74"/>
      <c r="C423" s="74"/>
      <c r="D423" s="74"/>
      <c r="E423" s="74"/>
      <c r="F423" s="74"/>
      <c r="G423" s="74"/>
    </row>
    <row r="424">
      <c r="A424" s="74"/>
      <c r="B424" s="74"/>
      <c r="C424" s="74"/>
      <c r="D424" s="74"/>
      <c r="E424" s="74"/>
      <c r="F424" s="74"/>
      <c r="G424" s="74"/>
    </row>
    <row r="425">
      <c r="A425" s="74"/>
      <c r="B425" s="74"/>
      <c r="C425" s="74"/>
      <c r="D425" s="74"/>
      <c r="E425" s="74"/>
      <c r="F425" s="74"/>
      <c r="G425" s="74"/>
    </row>
    <row r="426">
      <c r="A426" s="74"/>
      <c r="B426" s="74"/>
      <c r="C426" s="74"/>
      <c r="D426" s="74"/>
      <c r="E426" s="74"/>
      <c r="F426" s="74"/>
      <c r="G426" s="74"/>
    </row>
    <row r="427">
      <c r="A427" s="74"/>
      <c r="B427" s="74"/>
      <c r="C427" s="74"/>
      <c r="D427" s="74"/>
      <c r="E427" s="74"/>
      <c r="F427" s="74"/>
      <c r="G427" s="74"/>
    </row>
    <row r="428">
      <c r="A428" s="74"/>
      <c r="B428" s="74"/>
      <c r="C428" s="74"/>
      <c r="D428" s="74"/>
      <c r="E428" s="74"/>
      <c r="F428" s="74"/>
      <c r="G428" s="74"/>
    </row>
    <row r="429">
      <c r="A429" s="74"/>
      <c r="B429" s="74"/>
      <c r="C429" s="74"/>
      <c r="D429" s="74"/>
      <c r="E429" s="74"/>
      <c r="F429" s="74"/>
      <c r="G429" s="74"/>
    </row>
    <row r="430">
      <c r="A430" s="74"/>
      <c r="B430" s="74"/>
      <c r="C430" s="74"/>
      <c r="D430" s="74"/>
      <c r="E430" s="74"/>
      <c r="F430" s="74"/>
      <c r="G430" s="74"/>
    </row>
    <row r="431">
      <c r="A431" s="74"/>
      <c r="B431" s="74"/>
      <c r="C431" s="74"/>
      <c r="D431" s="74"/>
      <c r="E431" s="74"/>
      <c r="F431" s="74"/>
      <c r="G431" s="74"/>
    </row>
    <row r="432">
      <c r="A432" s="74"/>
      <c r="B432" s="74"/>
      <c r="C432" s="74"/>
      <c r="D432" s="74"/>
      <c r="E432" s="74"/>
      <c r="F432" s="74"/>
      <c r="G432" s="74"/>
    </row>
    <row r="433">
      <c r="A433" s="74"/>
      <c r="B433" s="74"/>
      <c r="C433" s="74"/>
      <c r="D433" s="74"/>
      <c r="E433" s="74"/>
      <c r="F433" s="74"/>
      <c r="G433" s="74"/>
    </row>
    <row r="434">
      <c r="A434" s="74"/>
      <c r="B434" s="74"/>
      <c r="C434" s="74"/>
      <c r="D434" s="74"/>
      <c r="E434" s="74"/>
      <c r="F434" s="74"/>
      <c r="G434" s="74"/>
    </row>
    <row r="435">
      <c r="A435" s="74"/>
      <c r="B435" s="74"/>
      <c r="C435" s="74"/>
      <c r="D435" s="74"/>
      <c r="E435" s="74"/>
      <c r="F435" s="74"/>
      <c r="G435" s="74"/>
    </row>
    <row r="436">
      <c r="A436" s="74"/>
      <c r="B436" s="74"/>
      <c r="C436" s="74"/>
      <c r="D436" s="74"/>
      <c r="E436" s="74"/>
      <c r="F436" s="74"/>
      <c r="G436" s="74"/>
    </row>
    <row r="437">
      <c r="A437" s="74"/>
      <c r="B437" s="74"/>
      <c r="C437" s="74"/>
      <c r="D437" s="74"/>
      <c r="E437" s="74"/>
      <c r="F437" s="74"/>
      <c r="G437" s="74"/>
    </row>
    <row r="438">
      <c r="A438" s="74"/>
      <c r="B438" s="74"/>
      <c r="C438" s="74"/>
      <c r="D438" s="74"/>
      <c r="E438" s="74"/>
      <c r="F438" s="74"/>
      <c r="G438" s="74"/>
    </row>
    <row r="439">
      <c r="A439" s="74"/>
      <c r="B439" s="74"/>
      <c r="C439" s="74"/>
      <c r="D439" s="74"/>
      <c r="E439" s="74"/>
      <c r="F439" s="74"/>
      <c r="G439" s="74"/>
    </row>
    <row r="440">
      <c r="A440" s="74"/>
      <c r="B440" s="74"/>
      <c r="C440" s="74"/>
      <c r="D440" s="74"/>
      <c r="E440" s="74"/>
      <c r="F440" s="74"/>
      <c r="G440" s="74"/>
    </row>
    <row r="441">
      <c r="A441" s="74"/>
      <c r="B441" s="74"/>
      <c r="C441" s="74"/>
      <c r="D441" s="74"/>
      <c r="E441" s="74"/>
      <c r="F441" s="74"/>
      <c r="G441" s="74"/>
    </row>
    <row r="442">
      <c r="A442" s="74"/>
      <c r="B442" s="74"/>
      <c r="C442" s="74"/>
      <c r="D442" s="74"/>
      <c r="E442" s="74"/>
      <c r="F442" s="74"/>
      <c r="G442" s="74"/>
    </row>
    <row r="443">
      <c r="A443" s="74"/>
      <c r="B443" s="74"/>
      <c r="C443" s="74"/>
      <c r="D443" s="74"/>
      <c r="E443" s="74"/>
      <c r="F443" s="74"/>
      <c r="G443" s="74"/>
    </row>
    <row r="444">
      <c r="A444" s="74"/>
      <c r="B444" s="74"/>
      <c r="C444" s="74"/>
      <c r="D444" s="74"/>
      <c r="E444" s="74"/>
      <c r="F444" s="74"/>
      <c r="G444" s="74"/>
    </row>
    <row r="445">
      <c r="A445" s="74"/>
      <c r="B445" s="74"/>
      <c r="C445" s="74"/>
      <c r="D445" s="74"/>
      <c r="E445" s="74"/>
      <c r="F445" s="74"/>
      <c r="G445" s="74"/>
    </row>
    <row r="446">
      <c r="A446" s="74"/>
      <c r="B446" s="74"/>
      <c r="C446" s="74"/>
      <c r="D446" s="74"/>
      <c r="E446" s="74"/>
      <c r="F446" s="74"/>
      <c r="G446" s="74"/>
    </row>
    <row r="447">
      <c r="A447" s="74"/>
      <c r="B447" s="74"/>
      <c r="C447" s="74"/>
      <c r="D447" s="74"/>
      <c r="E447" s="74"/>
      <c r="F447" s="74"/>
      <c r="G447" s="74"/>
    </row>
    <row r="448">
      <c r="A448" s="74"/>
      <c r="B448" s="74"/>
      <c r="C448" s="74"/>
      <c r="D448" s="74"/>
      <c r="E448" s="74"/>
      <c r="F448" s="74"/>
      <c r="G448" s="74"/>
    </row>
    <row r="449">
      <c r="A449" s="74"/>
      <c r="B449" s="74"/>
      <c r="C449" s="74"/>
      <c r="D449" s="74"/>
      <c r="E449" s="74"/>
      <c r="F449" s="74"/>
      <c r="G449" s="74"/>
    </row>
    <row r="450">
      <c r="A450" s="74"/>
      <c r="B450" s="74"/>
      <c r="C450" s="74"/>
      <c r="D450" s="74"/>
      <c r="E450" s="74"/>
      <c r="F450" s="74"/>
      <c r="G450" s="74"/>
    </row>
    <row r="451">
      <c r="A451" s="74"/>
      <c r="B451" s="74"/>
      <c r="C451" s="74"/>
      <c r="D451" s="74"/>
      <c r="E451" s="74"/>
      <c r="F451" s="74"/>
      <c r="G451" s="74"/>
    </row>
    <row r="452">
      <c r="A452" s="74"/>
      <c r="B452" s="74"/>
      <c r="C452" s="74"/>
      <c r="D452" s="74"/>
      <c r="E452" s="74"/>
      <c r="F452" s="74"/>
      <c r="G452" s="74"/>
    </row>
    <row r="453">
      <c r="A453" s="74"/>
      <c r="B453" s="74"/>
      <c r="C453" s="74"/>
      <c r="D453" s="74"/>
      <c r="E453" s="74"/>
      <c r="F453" s="74"/>
      <c r="G453" s="74"/>
    </row>
    <row r="454">
      <c r="A454" s="74"/>
      <c r="B454" s="74"/>
      <c r="C454" s="74"/>
      <c r="D454" s="74"/>
      <c r="E454" s="74"/>
      <c r="F454" s="74"/>
      <c r="G454" s="74"/>
    </row>
    <row r="455">
      <c r="A455" s="74"/>
      <c r="B455" s="74"/>
      <c r="C455" s="74"/>
      <c r="D455" s="74"/>
      <c r="E455" s="74"/>
      <c r="F455" s="74"/>
      <c r="G455" s="74"/>
    </row>
    <row r="456">
      <c r="A456" s="74"/>
      <c r="B456" s="74"/>
      <c r="C456" s="74"/>
      <c r="D456" s="74"/>
      <c r="E456" s="74"/>
      <c r="F456" s="74"/>
      <c r="G456" s="74"/>
    </row>
    <row r="457">
      <c r="A457" s="74"/>
      <c r="B457" s="74"/>
      <c r="C457" s="74"/>
      <c r="D457" s="74"/>
      <c r="E457" s="74"/>
      <c r="F457" s="74"/>
      <c r="G457" s="74"/>
    </row>
    <row r="458">
      <c r="A458" s="74"/>
      <c r="B458" s="74"/>
      <c r="C458" s="74"/>
      <c r="D458" s="74"/>
      <c r="E458" s="74"/>
      <c r="F458" s="74"/>
      <c r="G458" s="74"/>
    </row>
    <row r="459">
      <c r="A459" s="74"/>
      <c r="B459" s="74"/>
      <c r="C459" s="74"/>
      <c r="D459" s="74"/>
      <c r="E459" s="74"/>
      <c r="F459" s="74"/>
      <c r="G459" s="74"/>
    </row>
    <row r="460">
      <c r="A460" s="74"/>
      <c r="B460" s="74"/>
      <c r="C460" s="74"/>
      <c r="D460" s="74"/>
      <c r="E460" s="74"/>
      <c r="F460" s="74"/>
      <c r="G460" s="74"/>
    </row>
    <row r="461">
      <c r="A461" s="74"/>
      <c r="B461" s="74"/>
      <c r="C461" s="74"/>
      <c r="D461" s="74"/>
      <c r="E461" s="74"/>
      <c r="F461" s="74"/>
      <c r="G461" s="74"/>
    </row>
    <row r="462">
      <c r="A462" s="74"/>
      <c r="B462" s="74"/>
      <c r="C462" s="74"/>
      <c r="D462" s="74"/>
      <c r="E462" s="74"/>
      <c r="F462" s="74"/>
      <c r="G462" s="74"/>
    </row>
    <row r="463">
      <c r="A463" s="74"/>
      <c r="B463" s="74"/>
      <c r="C463" s="74"/>
      <c r="D463" s="74"/>
      <c r="E463" s="74"/>
      <c r="F463" s="74"/>
      <c r="G463" s="74"/>
    </row>
    <row r="464">
      <c r="A464" s="74"/>
      <c r="B464" s="74"/>
      <c r="C464" s="74"/>
      <c r="D464" s="74"/>
      <c r="E464" s="74"/>
      <c r="F464" s="74"/>
      <c r="G464" s="74"/>
    </row>
    <row r="465">
      <c r="A465" s="74"/>
      <c r="B465" s="74"/>
      <c r="C465" s="74"/>
      <c r="D465" s="74"/>
      <c r="E465" s="74"/>
      <c r="F465" s="74"/>
      <c r="G465" s="74"/>
    </row>
    <row r="466">
      <c r="A466" s="74"/>
      <c r="B466" s="74"/>
      <c r="C466" s="74"/>
      <c r="D466" s="74"/>
      <c r="E466" s="74"/>
      <c r="F466" s="74"/>
      <c r="G466" s="74"/>
    </row>
    <row r="467">
      <c r="A467" s="74"/>
      <c r="B467" s="74"/>
      <c r="C467" s="74"/>
      <c r="D467" s="74"/>
      <c r="E467" s="74"/>
      <c r="F467" s="74"/>
      <c r="G467" s="74"/>
    </row>
    <row r="468">
      <c r="A468" s="74"/>
      <c r="B468" s="74"/>
      <c r="C468" s="74"/>
      <c r="D468" s="74"/>
      <c r="E468" s="74"/>
      <c r="F468" s="74"/>
      <c r="G468" s="74"/>
    </row>
    <row r="469">
      <c r="A469" s="74"/>
      <c r="B469" s="74"/>
      <c r="C469" s="74"/>
      <c r="D469" s="74"/>
      <c r="E469" s="74"/>
      <c r="F469" s="74"/>
      <c r="G469" s="74"/>
    </row>
    <row r="470">
      <c r="A470" s="74"/>
      <c r="B470" s="74"/>
      <c r="C470" s="74"/>
      <c r="D470" s="74"/>
      <c r="E470" s="74"/>
      <c r="F470" s="74"/>
      <c r="G470" s="74"/>
    </row>
    <row r="471">
      <c r="A471" s="74"/>
      <c r="B471" s="74"/>
      <c r="C471" s="74"/>
      <c r="D471" s="74"/>
      <c r="E471" s="74"/>
      <c r="F471" s="74"/>
      <c r="G471" s="74"/>
    </row>
    <row r="472">
      <c r="A472" s="74"/>
      <c r="B472" s="74"/>
      <c r="C472" s="74"/>
      <c r="D472" s="74"/>
      <c r="E472" s="74"/>
      <c r="F472" s="74"/>
      <c r="G472" s="74"/>
    </row>
    <row r="473">
      <c r="A473" s="74"/>
      <c r="B473" s="74"/>
      <c r="C473" s="74"/>
      <c r="D473" s="74"/>
      <c r="E473" s="74"/>
      <c r="F473" s="74"/>
      <c r="G473" s="74"/>
    </row>
    <row r="474">
      <c r="A474" s="74"/>
      <c r="B474" s="74"/>
      <c r="C474" s="74"/>
      <c r="D474" s="74"/>
      <c r="E474" s="74"/>
      <c r="F474" s="74"/>
      <c r="G474" s="74"/>
    </row>
    <row r="475">
      <c r="A475" s="74"/>
      <c r="B475" s="74"/>
      <c r="C475" s="74"/>
      <c r="D475" s="74"/>
      <c r="E475" s="74"/>
      <c r="F475" s="74"/>
      <c r="G475" s="74"/>
    </row>
    <row r="476">
      <c r="A476" s="74"/>
      <c r="B476" s="74"/>
      <c r="C476" s="74"/>
      <c r="D476" s="74"/>
      <c r="E476" s="74"/>
      <c r="F476" s="74"/>
      <c r="G476" s="74"/>
    </row>
    <row r="477">
      <c r="A477" s="74"/>
      <c r="B477" s="74"/>
      <c r="C477" s="74"/>
      <c r="D477" s="74"/>
      <c r="E477" s="74"/>
      <c r="F477" s="74"/>
      <c r="G477" s="74"/>
    </row>
    <row r="478">
      <c r="A478" s="74"/>
      <c r="B478" s="74"/>
      <c r="C478" s="74"/>
      <c r="D478" s="74"/>
      <c r="E478" s="74"/>
      <c r="F478" s="74"/>
      <c r="G478" s="74"/>
    </row>
    <row r="479">
      <c r="A479" s="74"/>
      <c r="B479" s="74"/>
      <c r="C479" s="74"/>
      <c r="D479" s="74"/>
      <c r="E479" s="74"/>
      <c r="F479" s="74"/>
      <c r="G479" s="74"/>
    </row>
    <row r="480">
      <c r="A480" s="74"/>
      <c r="B480" s="74"/>
      <c r="C480" s="74"/>
      <c r="D480" s="74"/>
      <c r="E480" s="74"/>
      <c r="F480" s="74"/>
      <c r="G480" s="74"/>
    </row>
    <row r="481">
      <c r="A481" s="74"/>
      <c r="B481" s="74"/>
      <c r="C481" s="74"/>
      <c r="D481" s="74"/>
      <c r="E481" s="74"/>
      <c r="F481" s="74"/>
      <c r="G481" s="74"/>
    </row>
    <row r="482">
      <c r="A482" s="74"/>
      <c r="B482" s="74"/>
      <c r="C482" s="74"/>
      <c r="D482" s="74"/>
      <c r="E482" s="74"/>
      <c r="F482" s="74"/>
      <c r="G482" s="74"/>
    </row>
    <row r="483">
      <c r="A483" s="74"/>
      <c r="B483" s="74"/>
      <c r="C483" s="74"/>
      <c r="D483" s="74"/>
      <c r="E483" s="74"/>
      <c r="F483" s="74"/>
      <c r="G483" s="74"/>
    </row>
    <row r="484">
      <c r="A484" s="74"/>
      <c r="B484" s="74"/>
      <c r="C484" s="74"/>
      <c r="D484" s="74"/>
      <c r="E484" s="74"/>
      <c r="F484" s="74"/>
      <c r="G484" s="74"/>
    </row>
    <row r="485">
      <c r="A485" s="74"/>
      <c r="B485" s="74"/>
      <c r="C485" s="74"/>
      <c r="D485" s="74"/>
      <c r="E485" s="74"/>
      <c r="F485" s="74"/>
      <c r="G485" s="74"/>
    </row>
    <row r="486">
      <c r="A486" s="74"/>
      <c r="B486" s="74"/>
      <c r="C486" s="74"/>
      <c r="D486" s="74"/>
      <c r="E486" s="74"/>
      <c r="F486" s="74"/>
      <c r="G486" s="74"/>
    </row>
    <row r="487">
      <c r="A487" s="74"/>
      <c r="B487" s="74"/>
      <c r="C487" s="74"/>
      <c r="D487" s="74"/>
      <c r="E487" s="74"/>
      <c r="F487" s="74"/>
      <c r="G487" s="74"/>
    </row>
    <row r="488">
      <c r="A488" s="74"/>
      <c r="B488" s="74"/>
      <c r="C488" s="74"/>
      <c r="D488" s="74"/>
      <c r="E488" s="74"/>
      <c r="F488" s="74"/>
      <c r="G488" s="74"/>
    </row>
    <row r="489">
      <c r="A489" s="74"/>
      <c r="B489" s="74"/>
      <c r="C489" s="74"/>
      <c r="D489" s="74"/>
      <c r="E489" s="74"/>
      <c r="F489" s="74"/>
      <c r="G489" s="74"/>
    </row>
    <row r="490">
      <c r="A490" s="74"/>
      <c r="B490" s="74"/>
      <c r="C490" s="74"/>
      <c r="D490" s="74"/>
      <c r="E490" s="74"/>
      <c r="F490" s="74"/>
      <c r="G490" s="74"/>
    </row>
    <row r="491">
      <c r="A491" s="74"/>
      <c r="B491" s="74"/>
      <c r="C491" s="74"/>
      <c r="D491" s="74"/>
      <c r="E491" s="74"/>
      <c r="F491" s="74"/>
      <c r="G491" s="74"/>
    </row>
    <row r="492">
      <c r="A492" s="74"/>
      <c r="B492" s="74"/>
      <c r="C492" s="74"/>
      <c r="D492" s="74"/>
      <c r="E492" s="74"/>
      <c r="F492" s="74"/>
      <c r="G492" s="74"/>
    </row>
    <row r="493">
      <c r="A493" s="74"/>
      <c r="B493" s="74"/>
      <c r="C493" s="74"/>
      <c r="D493" s="74"/>
      <c r="E493" s="74"/>
      <c r="F493" s="74"/>
      <c r="G493" s="74"/>
    </row>
    <row r="494">
      <c r="A494" s="74"/>
      <c r="B494" s="74"/>
      <c r="C494" s="74"/>
      <c r="D494" s="74"/>
      <c r="E494" s="74"/>
      <c r="F494" s="74"/>
      <c r="G494" s="74"/>
    </row>
    <row r="495">
      <c r="A495" s="74"/>
      <c r="B495" s="74"/>
      <c r="C495" s="74"/>
      <c r="D495" s="74"/>
      <c r="E495" s="74"/>
      <c r="F495" s="74"/>
      <c r="G495" s="74"/>
    </row>
    <row r="496">
      <c r="A496" s="74"/>
      <c r="B496" s="74"/>
      <c r="C496" s="74"/>
      <c r="D496" s="74"/>
      <c r="E496" s="74"/>
      <c r="F496" s="74"/>
      <c r="G496" s="74"/>
    </row>
    <row r="497">
      <c r="A497" s="74"/>
      <c r="B497" s="74"/>
      <c r="C497" s="74"/>
      <c r="D497" s="74"/>
      <c r="E497" s="74"/>
      <c r="F497" s="74"/>
      <c r="G497" s="74"/>
    </row>
    <row r="498">
      <c r="A498" s="74"/>
      <c r="B498" s="74"/>
      <c r="C498" s="74"/>
      <c r="D498" s="74"/>
      <c r="E498" s="74"/>
      <c r="F498" s="74"/>
      <c r="G498" s="74"/>
    </row>
    <row r="499">
      <c r="A499" s="74"/>
      <c r="B499" s="74"/>
      <c r="C499" s="74"/>
      <c r="D499" s="74"/>
      <c r="E499" s="74"/>
      <c r="F499" s="74"/>
      <c r="G499" s="74"/>
    </row>
    <row r="500">
      <c r="A500" s="74"/>
      <c r="B500" s="74"/>
      <c r="C500" s="74"/>
      <c r="D500" s="74"/>
      <c r="E500" s="74"/>
      <c r="F500" s="74"/>
      <c r="G500" s="74"/>
    </row>
    <row r="501">
      <c r="A501" s="74"/>
      <c r="B501" s="74"/>
      <c r="C501" s="74"/>
      <c r="D501" s="74"/>
      <c r="E501" s="74"/>
      <c r="F501" s="74"/>
      <c r="G501" s="74"/>
    </row>
    <row r="502">
      <c r="A502" s="74"/>
      <c r="B502" s="74"/>
      <c r="C502" s="74"/>
      <c r="D502" s="74"/>
      <c r="E502" s="74"/>
      <c r="F502" s="74"/>
      <c r="G502" s="74"/>
    </row>
    <row r="503">
      <c r="A503" s="74"/>
      <c r="B503" s="74"/>
      <c r="C503" s="74"/>
      <c r="D503" s="74"/>
      <c r="E503" s="74"/>
      <c r="F503" s="74"/>
      <c r="G503" s="74"/>
    </row>
    <row r="504">
      <c r="A504" s="74"/>
      <c r="B504" s="74"/>
      <c r="C504" s="74"/>
      <c r="D504" s="74"/>
      <c r="E504" s="74"/>
      <c r="F504" s="74"/>
      <c r="G504" s="74"/>
    </row>
    <row r="505">
      <c r="A505" s="74"/>
      <c r="B505" s="74"/>
      <c r="C505" s="74"/>
      <c r="D505" s="74"/>
      <c r="E505" s="74"/>
      <c r="F505" s="74"/>
      <c r="G505" s="74"/>
    </row>
    <row r="506">
      <c r="A506" s="74"/>
      <c r="B506" s="74"/>
      <c r="C506" s="74"/>
      <c r="D506" s="74"/>
      <c r="E506" s="74"/>
      <c r="F506" s="74"/>
      <c r="G506" s="74"/>
    </row>
    <row r="507">
      <c r="A507" s="74"/>
      <c r="B507" s="74"/>
      <c r="C507" s="74"/>
      <c r="D507" s="74"/>
      <c r="E507" s="74"/>
      <c r="F507" s="74"/>
      <c r="G507" s="74"/>
    </row>
    <row r="508">
      <c r="A508" s="74"/>
      <c r="B508" s="74"/>
      <c r="C508" s="74"/>
      <c r="D508" s="74"/>
      <c r="E508" s="74"/>
      <c r="F508" s="74"/>
      <c r="G508" s="74"/>
    </row>
    <row r="509">
      <c r="A509" s="74"/>
      <c r="B509" s="74"/>
      <c r="C509" s="74"/>
      <c r="D509" s="74"/>
      <c r="E509" s="74"/>
      <c r="F509" s="74"/>
      <c r="G509" s="74"/>
    </row>
    <row r="510">
      <c r="A510" s="74"/>
      <c r="B510" s="74"/>
      <c r="C510" s="74"/>
      <c r="D510" s="74"/>
      <c r="E510" s="74"/>
      <c r="F510" s="74"/>
      <c r="G510" s="74"/>
    </row>
    <row r="511">
      <c r="A511" s="74"/>
      <c r="B511" s="74"/>
      <c r="C511" s="74"/>
      <c r="D511" s="74"/>
      <c r="E511" s="74"/>
      <c r="F511" s="74"/>
      <c r="G511" s="74"/>
    </row>
    <row r="512">
      <c r="A512" s="74"/>
      <c r="B512" s="74"/>
      <c r="C512" s="74"/>
      <c r="D512" s="74"/>
      <c r="E512" s="74"/>
      <c r="F512" s="74"/>
      <c r="G512" s="74"/>
    </row>
    <row r="513">
      <c r="A513" s="74"/>
      <c r="B513" s="74"/>
      <c r="C513" s="74"/>
      <c r="D513" s="74"/>
      <c r="E513" s="74"/>
      <c r="F513" s="74"/>
      <c r="G513" s="74"/>
    </row>
    <row r="514">
      <c r="A514" s="74"/>
      <c r="B514" s="74"/>
      <c r="C514" s="74"/>
      <c r="D514" s="74"/>
      <c r="E514" s="74"/>
      <c r="F514" s="74"/>
      <c r="G514" s="74"/>
    </row>
    <row r="515">
      <c r="A515" s="74"/>
      <c r="B515" s="74"/>
      <c r="C515" s="74"/>
      <c r="D515" s="74"/>
      <c r="E515" s="74"/>
      <c r="F515" s="74"/>
      <c r="G515" s="74"/>
    </row>
    <row r="516">
      <c r="A516" s="74"/>
      <c r="B516" s="74"/>
      <c r="C516" s="74"/>
      <c r="D516" s="74"/>
      <c r="E516" s="74"/>
      <c r="F516" s="74"/>
      <c r="G516" s="74"/>
    </row>
    <row r="517">
      <c r="A517" s="74"/>
      <c r="B517" s="74"/>
      <c r="C517" s="74"/>
      <c r="D517" s="74"/>
      <c r="E517" s="74"/>
      <c r="F517" s="74"/>
      <c r="G517" s="74"/>
    </row>
    <row r="518">
      <c r="A518" s="74"/>
      <c r="B518" s="74"/>
      <c r="C518" s="74"/>
      <c r="D518" s="74"/>
      <c r="E518" s="74"/>
      <c r="F518" s="74"/>
      <c r="G518" s="74"/>
    </row>
    <row r="519">
      <c r="A519" s="74"/>
      <c r="B519" s="74"/>
      <c r="C519" s="74"/>
      <c r="D519" s="74"/>
      <c r="E519" s="74"/>
      <c r="F519" s="74"/>
      <c r="G519" s="74"/>
    </row>
    <row r="520">
      <c r="A520" s="74"/>
      <c r="B520" s="74"/>
      <c r="C520" s="74"/>
      <c r="D520" s="74"/>
      <c r="E520" s="74"/>
      <c r="F520" s="74"/>
      <c r="G520" s="74"/>
    </row>
    <row r="521">
      <c r="A521" s="74"/>
      <c r="B521" s="74"/>
      <c r="C521" s="74"/>
      <c r="D521" s="74"/>
      <c r="E521" s="74"/>
      <c r="F521" s="74"/>
      <c r="G521" s="74"/>
    </row>
    <row r="522">
      <c r="A522" s="74"/>
      <c r="B522" s="74"/>
      <c r="C522" s="74"/>
      <c r="D522" s="74"/>
      <c r="E522" s="74"/>
      <c r="F522" s="74"/>
      <c r="G522" s="74"/>
    </row>
    <row r="523">
      <c r="A523" s="74"/>
      <c r="B523" s="74"/>
      <c r="C523" s="74"/>
      <c r="D523" s="74"/>
      <c r="E523" s="74"/>
      <c r="F523" s="74"/>
      <c r="G523" s="74"/>
    </row>
    <row r="524">
      <c r="A524" s="74"/>
      <c r="B524" s="74"/>
      <c r="C524" s="74"/>
      <c r="D524" s="74"/>
      <c r="E524" s="74"/>
      <c r="F524" s="74"/>
      <c r="G524" s="74"/>
    </row>
    <row r="525">
      <c r="A525" s="74"/>
      <c r="B525" s="74"/>
      <c r="C525" s="74"/>
      <c r="D525" s="74"/>
      <c r="E525" s="74"/>
      <c r="F525" s="74"/>
      <c r="G525" s="74"/>
    </row>
    <row r="526">
      <c r="A526" s="74"/>
      <c r="B526" s="74"/>
      <c r="C526" s="74"/>
      <c r="D526" s="74"/>
      <c r="E526" s="74"/>
      <c r="F526" s="74"/>
      <c r="G526" s="74"/>
    </row>
    <row r="527">
      <c r="A527" s="74"/>
      <c r="B527" s="74"/>
      <c r="C527" s="74"/>
      <c r="D527" s="74"/>
      <c r="E527" s="74"/>
      <c r="F527" s="74"/>
      <c r="G527" s="74"/>
    </row>
    <row r="528">
      <c r="A528" s="74"/>
      <c r="B528" s="74"/>
      <c r="C528" s="74"/>
      <c r="D528" s="74"/>
      <c r="E528" s="74"/>
      <c r="F528" s="74"/>
      <c r="G528" s="74"/>
    </row>
    <row r="529">
      <c r="A529" s="74"/>
      <c r="B529" s="74"/>
      <c r="C529" s="74"/>
      <c r="D529" s="74"/>
      <c r="E529" s="74"/>
      <c r="F529" s="74"/>
      <c r="G529" s="74"/>
    </row>
    <row r="530">
      <c r="A530" s="74"/>
      <c r="B530" s="74"/>
      <c r="C530" s="74"/>
      <c r="D530" s="74"/>
      <c r="E530" s="74"/>
      <c r="F530" s="74"/>
      <c r="G530" s="74"/>
    </row>
    <row r="531">
      <c r="A531" s="74"/>
      <c r="B531" s="74"/>
      <c r="C531" s="74"/>
      <c r="D531" s="74"/>
      <c r="E531" s="74"/>
      <c r="F531" s="74"/>
      <c r="G531" s="74"/>
    </row>
    <row r="532">
      <c r="A532" s="74"/>
      <c r="B532" s="74"/>
      <c r="C532" s="74"/>
      <c r="D532" s="74"/>
      <c r="E532" s="74"/>
      <c r="F532" s="74"/>
      <c r="G532" s="74"/>
    </row>
    <row r="533">
      <c r="A533" s="74"/>
      <c r="B533" s="74"/>
      <c r="C533" s="74"/>
      <c r="D533" s="74"/>
      <c r="E533" s="74"/>
      <c r="F533" s="74"/>
      <c r="G533" s="74"/>
    </row>
    <row r="534">
      <c r="A534" s="74"/>
      <c r="B534" s="74"/>
      <c r="C534" s="74"/>
      <c r="D534" s="74"/>
      <c r="E534" s="74"/>
      <c r="F534" s="74"/>
      <c r="G534" s="74"/>
    </row>
    <row r="535">
      <c r="A535" s="74"/>
      <c r="B535" s="74"/>
      <c r="C535" s="74"/>
      <c r="D535" s="74"/>
      <c r="E535" s="74"/>
      <c r="F535" s="74"/>
      <c r="G535" s="74"/>
    </row>
    <row r="536">
      <c r="A536" s="74"/>
      <c r="B536" s="74"/>
      <c r="C536" s="74"/>
      <c r="D536" s="74"/>
      <c r="E536" s="74"/>
      <c r="F536" s="74"/>
      <c r="G536" s="74"/>
    </row>
    <row r="537">
      <c r="A537" s="74"/>
      <c r="B537" s="74"/>
      <c r="C537" s="74"/>
      <c r="D537" s="74"/>
      <c r="E537" s="74"/>
      <c r="F537" s="74"/>
      <c r="G537" s="74"/>
    </row>
    <row r="538">
      <c r="A538" s="74"/>
      <c r="B538" s="74"/>
      <c r="C538" s="74"/>
      <c r="D538" s="74"/>
      <c r="E538" s="74"/>
      <c r="F538" s="74"/>
      <c r="G538" s="74"/>
    </row>
    <row r="539">
      <c r="A539" s="74"/>
      <c r="B539" s="74"/>
      <c r="C539" s="74"/>
      <c r="D539" s="74"/>
      <c r="E539" s="74"/>
      <c r="F539" s="74"/>
      <c r="G539" s="74"/>
    </row>
    <row r="540">
      <c r="A540" s="74"/>
      <c r="B540" s="74"/>
      <c r="C540" s="74"/>
      <c r="D540" s="74"/>
      <c r="E540" s="74"/>
      <c r="F540" s="74"/>
      <c r="G540" s="74"/>
    </row>
    <row r="541">
      <c r="A541" s="74"/>
      <c r="B541" s="74"/>
      <c r="C541" s="74"/>
      <c r="D541" s="74"/>
      <c r="E541" s="74"/>
      <c r="F541" s="74"/>
      <c r="G541" s="74"/>
    </row>
    <row r="542">
      <c r="A542" s="74"/>
      <c r="B542" s="74"/>
      <c r="C542" s="74"/>
      <c r="D542" s="74"/>
      <c r="E542" s="74"/>
      <c r="F542" s="74"/>
      <c r="G542" s="74"/>
    </row>
    <row r="543">
      <c r="A543" s="74"/>
      <c r="B543" s="74"/>
      <c r="C543" s="74"/>
      <c r="D543" s="74"/>
      <c r="E543" s="74"/>
      <c r="F543" s="74"/>
      <c r="G543" s="74"/>
    </row>
    <row r="544">
      <c r="A544" s="74"/>
      <c r="B544" s="74"/>
      <c r="C544" s="74"/>
      <c r="D544" s="74"/>
      <c r="E544" s="74"/>
      <c r="F544" s="74"/>
      <c r="G544" s="74"/>
    </row>
    <row r="545">
      <c r="A545" s="74"/>
      <c r="B545" s="74"/>
      <c r="C545" s="74"/>
      <c r="D545" s="74"/>
      <c r="E545" s="74"/>
      <c r="F545" s="74"/>
      <c r="G545" s="74"/>
    </row>
    <row r="546">
      <c r="A546" s="74"/>
      <c r="B546" s="74"/>
      <c r="C546" s="74"/>
      <c r="D546" s="74"/>
      <c r="E546" s="74"/>
      <c r="F546" s="74"/>
      <c r="G546" s="74"/>
    </row>
    <row r="547">
      <c r="A547" s="74"/>
      <c r="B547" s="74"/>
      <c r="C547" s="74"/>
      <c r="D547" s="74"/>
      <c r="E547" s="74"/>
      <c r="F547" s="74"/>
      <c r="G547" s="74"/>
    </row>
    <row r="548">
      <c r="A548" s="74"/>
      <c r="B548" s="74"/>
      <c r="C548" s="74"/>
      <c r="D548" s="74"/>
      <c r="E548" s="74"/>
      <c r="F548" s="74"/>
      <c r="G548" s="74"/>
    </row>
    <row r="549">
      <c r="A549" s="74"/>
      <c r="B549" s="74"/>
      <c r="C549" s="74"/>
      <c r="D549" s="74"/>
      <c r="E549" s="74"/>
      <c r="F549" s="74"/>
      <c r="G549" s="74"/>
    </row>
    <row r="550">
      <c r="A550" s="74"/>
      <c r="B550" s="74"/>
      <c r="C550" s="74"/>
      <c r="D550" s="74"/>
      <c r="E550" s="74"/>
      <c r="F550" s="74"/>
      <c r="G550" s="74"/>
    </row>
    <row r="551">
      <c r="A551" s="74"/>
      <c r="B551" s="74"/>
      <c r="C551" s="74"/>
      <c r="D551" s="74"/>
      <c r="E551" s="74"/>
      <c r="F551" s="74"/>
      <c r="G551" s="74"/>
    </row>
    <row r="552">
      <c r="A552" s="74"/>
      <c r="B552" s="74"/>
      <c r="C552" s="74"/>
      <c r="D552" s="74"/>
      <c r="E552" s="74"/>
      <c r="F552" s="74"/>
      <c r="G552" s="74"/>
    </row>
    <row r="553">
      <c r="A553" s="74"/>
      <c r="B553" s="74"/>
      <c r="C553" s="74"/>
      <c r="D553" s="74"/>
      <c r="E553" s="74"/>
      <c r="F553" s="74"/>
      <c r="G553" s="74"/>
    </row>
    <row r="554">
      <c r="A554" s="74"/>
      <c r="B554" s="74"/>
      <c r="C554" s="74"/>
      <c r="D554" s="74"/>
      <c r="E554" s="74"/>
      <c r="F554" s="74"/>
      <c r="G554" s="74"/>
    </row>
    <row r="555">
      <c r="A555" s="74"/>
      <c r="B555" s="74"/>
      <c r="C555" s="74"/>
      <c r="D555" s="74"/>
      <c r="E555" s="74"/>
      <c r="F555" s="74"/>
      <c r="G555" s="74"/>
    </row>
    <row r="556">
      <c r="A556" s="74"/>
      <c r="B556" s="74"/>
      <c r="C556" s="74"/>
      <c r="D556" s="74"/>
      <c r="E556" s="74"/>
      <c r="F556" s="74"/>
      <c r="G556" s="74"/>
    </row>
    <row r="557">
      <c r="A557" s="74"/>
      <c r="B557" s="74"/>
      <c r="C557" s="74"/>
      <c r="D557" s="74"/>
      <c r="E557" s="74"/>
      <c r="F557" s="74"/>
      <c r="G557" s="74"/>
    </row>
    <row r="558">
      <c r="A558" s="74"/>
      <c r="B558" s="74"/>
      <c r="C558" s="74"/>
      <c r="D558" s="74"/>
      <c r="E558" s="74"/>
      <c r="F558" s="74"/>
      <c r="G558" s="74"/>
    </row>
    <row r="559">
      <c r="A559" s="74"/>
      <c r="B559" s="74"/>
      <c r="C559" s="74"/>
      <c r="D559" s="74"/>
      <c r="E559" s="74"/>
      <c r="F559" s="74"/>
      <c r="G559" s="74"/>
    </row>
    <row r="560">
      <c r="A560" s="74"/>
      <c r="B560" s="74"/>
      <c r="C560" s="74"/>
      <c r="D560" s="74"/>
      <c r="E560" s="74"/>
      <c r="F560" s="74"/>
      <c r="G560" s="74"/>
    </row>
    <row r="561">
      <c r="A561" s="74"/>
      <c r="B561" s="74"/>
      <c r="C561" s="74"/>
      <c r="D561" s="74"/>
      <c r="E561" s="74"/>
      <c r="F561" s="74"/>
      <c r="G561" s="74"/>
    </row>
    <row r="562">
      <c r="A562" s="74"/>
      <c r="B562" s="74"/>
      <c r="C562" s="74"/>
      <c r="D562" s="74"/>
      <c r="E562" s="74"/>
      <c r="F562" s="74"/>
      <c r="G562" s="74"/>
    </row>
    <row r="563">
      <c r="A563" s="74"/>
      <c r="B563" s="74"/>
      <c r="C563" s="74"/>
      <c r="D563" s="74"/>
      <c r="E563" s="74"/>
      <c r="F563" s="74"/>
      <c r="G563" s="74"/>
    </row>
    <row r="564">
      <c r="A564" s="74"/>
      <c r="B564" s="74"/>
      <c r="C564" s="74"/>
      <c r="D564" s="74"/>
      <c r="E564" s="74"/>
      <c r="F564" s="74"/>
      <c r="G564" s="74"/>
    </row>
    <row r="565">
      <c r="A565" s="74"/>
      <c r="B565" s="74"/>
      <c r="C565" s="74"/>
      <c r="D565" s="74"/>
      <c r="E565" s="74"/>
      <c r="F565" s="74"/>
      <c r="G565" s="74"/>
    </row>
    <row r="566">
      <c r="A566" s="74"/>
      <c r="B566" s="74"/>
      <c r="C566" s="74"/>
      <c r="D566" s="74"/>
      <c r="E566" s="74"/>
      <c r="F566" s="74"/>
      <c r="G566" s="74"/>
    </row>
    <row r="567">
      <c r="A567" s="74"/>
      <c r="B567" s="74"/>
      <c r="C567" s="74"/>
      <c r="D567" s="74"/>
      <c r="E567" s="74"/>
      <c r="F567" s="74"/>
      <c r="G567" s="74"/>
    </row>
    <row r="568">
      <c r="A568" s="74"/>
      <c r="B568" s="74"/>
      <c r="C568" s="74"/>
      <c r="D568" s="74"/>
      <c r="E568" s="74"/>
      <c r="F568" s="74"/>
      <c r="G568" s="74"/>
    </row>
    <row r="569">
      <c r="A569" s="74"/>
      <c r="B569" s="74"/>
      <c r="C569" s="74"/>
      <c r="D569" s="74"/>
      <c r="E569" s="74"/>
      <c r="F569" s="74"/>
      <c r="G569" s="74"/>
    </row>
    <row r="570">
      <c r="A570" s="74"/>
      <c r="B570" s="74"/>
      <c r="C570" s="74"/>
      <c r="D570" s="74"/>
      <c r="E570" s="74"/>
      <c r="F570" s="74"/>
      <c r="G570" s="74"/>
    </row>
    <row r="571">
      <c r="A571" s="74"/>
      <c r="B571" s="74"/>
      <c r="C571" s="74"/>
      <c r="D571" s="74"/>
      <c r="E571" s="74"/>
      <c r="F571" s="74"/>
      <c r="G571" s="74"/>
    </row>
    <row r="572">
      <c r="A572" s="74"/>
      <c r="B572" s="74"/>
      <c r="C572" s="74"/>
      <c r="D572" s="74"/>
      <c r="E572" s="74"/>
      <c r="F572" s="74"/>
      <c r="G572" s="74"/>
    </row>
    <row r="573">
      <c r="A573" s="74"/>
      <c r="B573" s="74"/>
      <c r="C573" s="74"/>
      <c r="D573" s="74"/>
      <c r="E573" s="74"/>
      <c r="F573" s="74"/>
      <c r="G573" s="74"/>
    </row>
    <row r="574">
      <c r="A574" s="74"/>
      <c r="B574" s="74"/>
      <c r="C574" s="74"/>
      <c r="D574" s="74"/>
      <c r="E574" s="74"/>
      <c r="F574" s="74"/>
      <c r="G574" s="74"/>
    </row>
    <row r="575">
      <c r="A575" s="74"/>
      <c r="B575" s="74"/>
      <c r="C575" s="74"/>
      <c r="D575" s="74"/>
      <c r="E575" s="74"/>
      <c r="F575" s="74"/>
      <c r="G575" s="74"/>
    </row>
    <row r="576">
      <c r="A576" s="74"/>
      <c r="B576" s="74"/>
      <c r="C576" s="74"/>
      <c r="D576" s="74"/>
      <c r="E576" s="74"/>
      <c r="F576" s="74"/>
      <c r="G576" s="74"/>
    </row>
    <row r="577">
      <c r="A577" s="74"/>
      <c r="B577" s="74"/>
      <c r="C577" s="74"/>
      <c r="D577" s="74"/>
      <c r="E577" s="74"/>
      <c r="F577" s="74"/>
      <c r="G577" s="74"/>
    </row>
    <row r="578">
      <c r="A578" s="74"/>
      <c r="B578" s="74"/>
      <c r="C578" s="74"/>
      <c r="D578" s="74"/>
      <c r="E578" s="74"/>
      <c r="F578" s="74"/>
      <c r="G578" s="74"/>
    </row>
    <row r="579">
      <c r="A579" s="74"/>
      <c r="B579" s="74"/>
      <c r="C579" s="74"/>
      <c r="D579" s="74"/>
      <c r="E579" s="74"/>
      <c r="F579" s="74"/>
      <c r="G579" s="74"/>
    </row>
    <row r="580">
      <c r="A580" s="74"/>
      <c r="B580" s="74"/>
      <c r="C580" s="74"/>
      <c r="D580" s="74"/>
      <c r="E580" s="74"/>
      <c r="F580" s="74"/>
      <c r="G580" s="74"/>
    </row>
    <row r="581">
      <c r="A581" s="74"/>
      <c r="B581" s="74"/>
      <c r="C581" s="74"/>
      <c r="D581" s="74"/>
      <c r="E581" s="74"/>
      <c r="F581" s="74"/>
      <c r="G581" s="74"/>
    </row>
    <row r="582">
      <c r="A582" s="74"/>
      <c r="B582" s="74"/>
      <c r="C582" s="74"/>
      <c r="D582" s="74"/>
      <c r="E582" s="74"/>
      <c r="F582" s="74"/>
      <c r="G582" s="74"/>
    </row>
    <row r="583">
      <c r="A583" s="74"/>
      <c r="B583" s="74"/>
      <c r="C583" s="74"/>
      <c r="D583" s="74"/>
      <c r="E583" s="74"/>
      <c r="F583" s="74"/>
      <c r="G583" s="74"/>
    </row>
    <row r="584">
      <c r="A584" s="74"/>
      <c r="B584" s="74"/>
      <c r="C584" s="74"/>
      <c r="D584" s="74"/>
      <c r="E584" s="74"/>
      <c r="F584" s="74"/>
      <c r="G584" s="74"/>
    </row>
    <row r="585">
      <c r="A585" s="74"/>
      <c r="B585" s="74"/>
      <c r="C585" s="74"/>
      <c r="D585" s="74"/>
      <c r="E585" s="74"/>
      <c r="F585" s="74"/>
      <c r="G585" s="74"/>
    </row>
    <row r="586">
      <c r="A586" s="74"/>
      <c r="B586" s="74"/>
      <c r="C586" s="74"/>
      <c r="D586" s="74"/>
      <c r="E586" s="74"/>
      <c r="F586" s="74"/>
      <c r="G586" s="74"/>
    </row>
    <row r="587">
      <c r="A587" s="74"/>
      <c r="B587" s="74"/>
      <c r="C587" s="74"/>
      <c r="D587" s="74"/>
      <c r="E587" s="74"/>
      <c r="F587" s="74"/>
      <c r="G587" s="74"/>
    </row>
    <row r="588">
      <c r="A588" s="74"/>
      <c r="B588" s="74"/>
      <c r="C588" s="74"/>
      <c r="D588" s="74"/>
      <c r="E588" s="74"/>
      <c r="F588" s="74"/>
      <c r="G588" s="74"/>
    </row>
    <row r="589">
      <c r="A589" s="74"/>
      <c r="B589" s="74"/>
      <c r="C589" s="74"/>
      <c r="D589" s="74"/>
      <c r="E589" s="74"/>
      <c r="F589" s="74"/>
      <c r="G589" s="74"/>
    </row>
    <row r="590">
      <c r="A590" s="74"/>
      <c r="B590" s="74"/>
      <c r="C590" s="74"/>
      <c r="D590" s="74"/>
      <c r="E590" s="74"/>
      <c r="F590" s="74"/>
      <c r="G590" s="74"/>
    </row>
    <row r="591">
      <c r="A591" s="74"/>
      <c r="B591" s="74"/>
      <c r="C591" s="74"/>
      <c r="D591" s="74"/>
      <c r="E591" s="74"/>
      <c r="F591" s="74"/>
      <c r="G591" s="74"/>
    </row>
    <row r="592">
      <c r="A592" s="74"/>
      <c r="B592" s="74"/>
      <c r="C592" s="74"/>
      <c r="D592" s="74"/>
      <c r="E592" s="74"/>
      <c r="F592" s="74"/>
      <c r="G592" s="74"/>
    </row>
    <row r="593">
      <c r="A593" s="74"/>
      <c r="B593" s="74"/>
      <c r="C593" s="74"/>
      <c r="D593" s="74"/>
      <c r="E593" s="74"/>
      <c r="F593" s="74"/>
      <c r="G593" s="74"/>
    </row>
    <row r="594">
      <c r="A594" s="74"/>
      <c r="B594" s="74"/>
      <c r="C594" s="74"/>
      <c r="D594" s="74"/>
      <c r="E594" s="74"/>
      <c r="F594" s="74"/>
      <c r="G594" s="74"/>
    </row>
    <row r="595">
      <c r="A595" s="74"/>
      <c r="B595" s="74"/>
      <c r="C595" s="74"/>
      <c r="D595" s="74"/>
      <c r="E595" s="74"/>
      <c r="F595" s="74"/>
      <c r="G595" s="74"/>
    </row>
    <row r="596">
      <c r="A596" s="74"/>
      <c r="B596" s="74"/>
      <c r="C596" s="74"/>
      <c r="D596" s="74"/>
      <c r="E596" s="74"/>
      <c r="F596" s="74"/>
      <c r="G596" s="74"/>
    </row>
    <row r="597">
      <c r="A597" s="74"/>
      <c r="B597" s="74"/>
      <c r="C597" s="74"/>
      <c r="D597" s="74"/>
      <c r="E597" s="74"/>
      <c r="F597" s="74"/>
      <c r="G597" s="74"/>
    </row>
    <row r="598">
      <c r="A598" s="74"/>
      <c r="B598" s="74"/>
      <c r="C598" s="74"/>
      <c r="D598" s="74"/>
      <c r="E598" s="74"/>
      <c r="F598" s="74"/>
      <c r="G598" s="74"/>
    </row>
    <row r="599">
      <c r="A599" s="74"/>
      <c r="B599" s="74"/>
      <c r="C599" s="74"/>
      <c r="D599" s="74"/>
      <c r="E599" s="74"/>
      <c r="F599" s="74"/>
      <c r="G599" s="74"/>
    </row>
    <row r="600">
      <c r="A600" s="74"/>
      <c r="B600" s="74"/>
      <c r="C600" s="74"/>
      <c r="D600" s="74"/>
      <c r="E600" s="74"/>
      <c r="F600" s="74"/>
      <c r="G600" s="74"/>
    </row>
    <row r="601">
      <c r="A601" s="74"/>
      <c r="B601" s="74"/>
      <c r="C601" s="74"/>
      <c r="D601" s="74"/>
      <c r="E601" s="74"/>
      <c r="F601" s="74"/>
      <c r="G601" s="74"/>
    </row>
    <row r="602">
      <c r="A602" s="74"/>
      <c r="B602" s="74"/>
      <c r="C602" s="74"/>
      <c r="D602" s="74"/>
      <c r="E602" s="74"/>
      <c r="F602" s="74"/>
      <c r="G602" s="74"/>
    </row>
    <row r="603">
      <c r="A603" s="74"/>
      <c r="B603" s="74"/>
      <c r="C603" s="74"/>
      <c r="D603" s="74"/>
      <c r="E603" s="74"/>
      <c r="F603" s="74"/>
      <c r="G603" s="74"/>
    </row>
    <row r="604">
      <c r="A604" s="74"/>
      <c r="B604" s="74"/>
      <c r="C604" s="74"/>
      <c r="D604" s="74"/>
      <c r="E604" s="74"/>
      <c r="F604" s="74"/>
      <c r="G604" s="74"/>
    </row>
    <row r="605">
      <c r="A605" s="74"/>
      <c r="B605" s="74"/>
      <c r="C605" s="74"/>
      <c r="D605" s="74"/>
      <c r="E605" s="74"/>
      <c r="F605" s="74"/>
      <c r="G605" s="74"/>
    </row>
    <row r="606">
      <c r="A606" s="74"/>
      <c r="B606" s="74"/>
      <c r="C606" s="74"/>
      <c r="D606" s="74"/>
      <c r="E606" s="74"/>
      <c r="F606" s="74"/>
      <c r="G606" s="74"/>
    </row>
    <row r="607">
      <c r="A607" s="74"/>
      <c r="B607" s="74"/>
      <c r="C607" s="74"/>
      <c r="D607" s="74"/>
      <c r="E607" s="74"/>
      <c r="F607" s="74"/>
      <c r="G607" s="74"/>
    </row>
    <row r="608">
      <c r="A608" s="74"/>
      <c r="B608" s="74"/>
      <c r="C608" s="74"/>
      <c r="D608" s="74"/>
      <c r="E608" s="74"/>
      <c r="F608" s="74"/>
      <c r="G608" s="74"/>
    </row>
    <row r="609">
      <c r="A609" s="74"/>
      <c r="B609" s="74"/>
      <c r="C609" s="74"/>
      <c r="D609" s="74"/>
      <c r="E609" s="74"/>
      <c r="F609" s="74"/>
      <c r="G609" s="74"/>
    </row>
    <row r="610">
      <c r="A610" s="74"/>
      <c r="B610" s="74"/>
      <c r="C610" s="74"/>
      <c r="D610" s="74"/>
      <c r="E610" s="74"/>
      <c r="F610" s="74"/>
      <c r="G610" s="74"/>
    </row>
    <row r="611">
      <c r="A611" s="74"/>
      <c r="B611" s="74"/>
      <c r="C611" s="74"/>
      <c r="D611" s="74"/>
      <c r="E611" s="74"/>
      <c r="F611" s="74"/>
      <c r="G611" s="74"/>
    </row>
    <row r="612">
      <c r="A612" s="74"/>
      <c r="B612" s="74"/>
      <c r="C612" s="74"/>
      <c r="D612" s="74"/>
      <c r="E612" s="74"/>
      <c r="F612" s="74"/>
      <c r="G612" s="74"/>
    </row>
    <row r="613">
      <c r="A613" s="74"/>
      <c r="B613" s="74"/>
      <c r="C613" s="74"/>
      <c r="D613" s="74"/>
      <c r="E613" s="74"/>
      <c r="F613" s="74"/>
      <c r="G613" s="74"/>
    </row>
    <row r="614">
      <c r="A614" s="74"/>
      <c r="B614" s="74"/>
      <c r="C614" s="74"/>
      <c r="D614" s="74"/>
      <c r="E614" s="74"/>
      <c r="F614" s="74"/>
      <c r="G614" s="74"/>
    </row>
    <row r="615">
      <c r="A615" s="74"/>
      <c r="B615" s="74"/>
      <c r="C615" s="74"/>
      <c r="D615" s="74"/>
      <c r="E615" s="74"/>
      <c r="F615" s="74"/>
      <c r="G615" s="74"/>
    </row>
    <row r="616">
      <c r="A616" s="74"/>
      <c r="B616" s="74"/>
      <c r="C616" s="74"/>
      <c r="D616" s="74"/>
      <c r="E616" s="74"/>
      <c r="F616" s="74"/>
      <c r="G616" s="74"/>
    </row>
    <row r="617">
      <c r="A617" s="74"/>
      <c r="B617" s="74"/>
      <c r="C617" s="74"/>
      <c r="D617" s="74"/>
      <c r="E617" s="74"/>
      <c r="F617" s="74"/>
      <c r="G617" s="74"/>
    </row>
    <row r="618">
      <c r="A618" s="74"/>
      <c r="B618" s="74"/>
      <c r="C618" s="74"/>
      <c r="D618" s="74"/>
      <c r="E618" s="74"/>
      <c r="F618" s="74"/>
      <c r="G618" s="74"/>
    </row>
    <row r="619">
      <c r="A619" s="74"/>
      <c r="B619" s="74"/>
      <c r="C619" s="74"/>
      <c r="D619" s="74"/>
      <c r="E619" s="74"/>
      <c r="F619" s="74"/>
      <c r="G619" s="74"/>
    </row>
    <row r="620">
      <c r="A620" s="74"/>
      <c r="B620" s="74"/>
      <c r="C620" s="74"/>
      <c r="D620" s="74"/>
      <c r="E620" s="74"/>
      <c r="F620" s="74"/>
      <c r="G620" s="74"/>
    </row>
    <row r="621">
      <c r="A621" s="74"/>
      <c r="B621" s="74"/>
      <c r="C621" s="74"/>
      <c r="D621" s="74"/>
      <c r="E621" s="74"/>
      <c r="F621" s="74"/>
      <c r="G621" s="74"/>
    </row>
    <row r="622">
      <c r="A622" s="74"/>
      <c r="B622" s="74"/>
      <c r="C622" s="74"/>
      <c r="D622" s="74"/>
      <c r="E622" s="74"/>
      <c r="F622" s="74"/>
      <c r="G622" s="74"/>
    </row>
    <row r="623">
      <c r="A623" s="74"/>
      <c r="B623" s="74"/>
      <c r="C623" s="74"/>
      <c r="D623" s="74"/>
      <c r="E623" s="74"/>
      <c r="F623" s="74"/>
      <c r="G623" s="74"/>
    </row>
    <row r="624">
      <c r="A624" s="74"/>
      <c r="B624" s="74"/>
      <c r="C624" s="74"/>
      <c r="D624" s="74"/>
      <c r="E624" s="74"/>
      <c r="F624" s="74"/>
      <c r="G624" s="74"/>
    </row>
    <row r="625">
      <c r="A625" s="74"/>
      <c r="B625" s="74"/>
      <c r="C625" s="74"/>
      <c r="D625" s="74"/>
      <c r="E625" s="74"/>
      <c r="F625" s="74"/>
      <c r="G625" s="74"/>
    </row>
    <row r="626">
      <c r="A626" s="74"/>
      <c r="B626" s="74"/>
      <c r="C626" s="74"/>
      <c r="D626" s="74"/>
      <c r="E626" s="74"/>
      <c r="F626" s="74"/>
      <c r="G626" s="74"/>
    </row>
    <row r="627">
      <c r="A627" s="74"/>
      <c r="B627" s="74"/>
      <c r="C627" s="74"/>
      <c r="D627" s="74"/>
      <c r="E627" s="74"/>
      <c r="F627" s="74"/>
      <c r="G627" s="74"/>
    </row>
    <row r="628">
      <c r="A628" s="74"/>
      <c r="B628" s="74"/>
      <c r="C628" s="74"/>
      <c r="D628" s="74"/>
      <c r="E628" s="74"/>
      <c r="F628" s="74"/>
      <c r="G628" s="74"/>
    </row>
    <row r="629">
      <c r="A629" s="74"/>
      <c r="B629" s="74"/>
      <c r="C629" s="74"/>
      <c r="D629" s="74"/>
      <c r="E629" s="74"/>
      <c r="F629" s="74"/>
      <c r="G629" s="74"/>
    </row>
    <row r="630">
      <c r="A630" s="74"/>
      <c r="B630" s="74"/>
      <c r="C630" s="74"/>
      <c r="D630" s="74"/>
      <c r="E630" s="74"/>
      <c r="F630" s="74"/>
      <c r="G630" s="74"/>
    </row>
    <row r="631">
      <c r="A631" s="74"/>
      <c r="B631" s="74"/>
      <c r="C631" s="74"/>
      <c r="D631" s="74"/>
      <c r="E631" s="74"/>
      <c r="F631" s="74"/>
      <c r="G631" s="74"/>
    </row>
    <row r="632">
      <c r="A632" s="74"/>
      <c r="B632" s="74"/>
      <c r="C632" s="74"/>
      <c r="D632" s="74"/>
      <c r="E632" s="74"/>
      <c r="F632" s="74"/>
      <c r="G632" s="74"/>
    </row>
    <row r="633">
      <c r="A633" s="74"/>
      <c r="B633" s="74"/>
      <c r="C633" s="74"/>
      <c r="D633" s="74"/>
      <c r="E633" s="74"/>
      <c r="F633" s="74"/>
      <c r="G633" s="74"/>
    </row>
    <row r="634">
      <c r="A634" s="74"/>
      <c r="B634" s="74"/>
      <c r="C634" s="74"/>
      <c r="D634" s="74"/>
      <c r="E634" s="74"/>
      <c r="F634" s="74"/>
      <c r="G634" s="74"/>
    </row>
    <row r="635">
      <c r="A635" s="74"/>
      <c r="B635" s="74"/>
      <c r="C635" s="74"/>
      <c r="D635" s="74"/>
      <c r="E635" s="74"/>
      <c r="F635" s="74"/>
      <c r="G635" s="74"/>
    </row>
    <row r="636">
      <c r="A636" s="74"/>
      <c r="B636" s="74"/>
      <c r="C636" s="74"/>
      <c r="D636" s="74"/>
      <c r="E636" s="74"/>
      <c r="F636" s="74"/>
      <c r="G636" s="74"/>
    </row>
    <row r="637">
      <c r="A637" s="74"/>
      <c r="B637" s="74"/>
      <c r="C637" s="74"/>
      <c r="D637" s="74"/>
      <c r="E637" s="74"/>
      <c r="F637" s="74"/>
      <c r="G637" s="74"/>
    </row>
    <row r="638">
      <c r="A638" s="74"/>
      <c r="B638" s="74"/>
      <c r="C638" s="74"/>
      <c r="D638" s="74"/>
      <c r="E638" s="74"/>
      <c r="F638" s="74"/>
      <c r="G638" s="74"/>
    </row>
    <row r="639">
      <c r="A639" s="74"/>
      <c r="B639" s="74"/>
      <c r="C639" s="74"/>
      <c r="D639" s="74"/>
      <c r="E639" s="74"/>
      <c r="F639" s="74"/>
      <c r="G639" s="74"/>
    </row>
    <row r="640">
      <c r="A640" s="74"/>
      <c r="B640" s="74"/>
      <c r="C640" s="74"/>
      <c r="D640" s="74"/>
      <c r="E640" s="74"/>
      <c r="F640" s="74"/>
      <c r="G640" s="74"/>
    </row>
    <row r="641">
      <c r="A641" s="74"/>
      <c r="B641" s="74"/>
      <c r="C641" s="74"/>
      <c r="D641" s="74"/>
      <c r="E641" s="74"/>
      <c r="F641" s="74"/>
      <c r="G641" s="74"/>
    </row>
    <row r="642">
      <c r="A642" s="74"/>
      <c r="B642" s="74"/>
      <c r="C642" s="74"/>
      <c r="D642" s="74"/>
      <c r="E642" s="74"/>
      <c r="F642" s="74"/>
      <c r="G642" s="74"/>
    </row>
    <row r="643">
      <c r="A643" s="74"/>
      <c r="B643" s="74"/>
      <c r="C643" s="74"/>
      <c r="D643" s="74"/>
      <c r="E643" s="74"/>
      <c r="F643" s="74"/>
      <c r="G643" s="74"/>
    </row>
    <row r="644">
      <c r="A644" s="74"/>
      <c r="B644" s="74"/>
      <c r="C644" s="74"/>
      <c r="D644" s="74"/>
      <c r="E644" s="74"/>
      <c r="F644" s="74"/>
      <c r="G644" s="74"/>
    </row>
    <row r="645">
      <c r="A645" s="74"/>
      <c r="B645" s="74"/>
      <c r="C645" s="74"/>
      <c r="D645" s="74"/>
      <c r="E645" s="74"/>
      <c r="F645" s="74"/>
      <c r="G645" s="74"/>
    </row>
    <row r="646">
      <c r="A646" s="74"/>
      <c r="B646" s="74"/>
      <c r="C646" s="74"/>
      <c r="D646" s="74"/>
      <c r="E646" s="74"/>
      <c r="F646" s="74"/>
      <c r="G646" s="74"/>
    </row>
    <row r="647">
      <c r="A647" s="74"/>
      <c r="B647" s="74"/>
      <c r="C647" s="74"/>
      <c r="D647" s="74"/>
      <c r="E647" s="74"/>
      <c r="F647" s="74"/>
      <c r="G647" s="74"/>
    </row>
    <row r="648">
      <c r="A648" s="74"/>
      <c r="B648" s="74"/>
      <c r="C648" s="74"/>
      <c r="D648" s="74"/>
      <c r="E648" s="74"/>
      <c r="F648" s="74"/>
      <c r="G648" s="74"/>
    </row>
    <row r="649">
      <c r="A649" s="74"/>
      <c r="B649" s="74"/>
      <c r="C649" s="74"/>
      <c r="D649" s="74"/>
      <c r="E649" s="74"/>
      <c r="F649" s="74"/>
      <c r="G649" s="74"/>
    </row>
    <row r="650">
      <c r="A650" s="74"/>
      <c r="B650" s="74"/>
      <c r="C650" s="74"/>
      <c r="D650" s="74"/>
      <c r="E650" s="74"/>
      <c r="F650" s="74"/>
      <c r="G650" s="74"/>
    </row>
    <row r="651">
      <c r="A651" s="74"/>
      <c r="B651" s="74"/>
      <c r="C651" s="74"/>
      <c r="D651" s="74"/>
      <c r="E651" s="74"/>
      <c r="F651" s="74"/>
      <c r="G651" s="74"/>
    </row>
    <row r="652">
      <c r="A652" s="74"/>
      <c r="B652" s="74"/>
      <c r="C652" s="74"/>
      <c r="D652" s="74"/>
      <c r="E652" s="74"/>
      <c r="F652" s="74"/>
      <c r="G652" s="74"/>
    </row>
    <row r="653">
      <c r="A653" s="74"/>
      <c r="B653" s="74"/>
      <c r="C653" s="74"/>
      <c r="D653" s="74"/>
      <c r="E653" s="74"/>
      <c r="F653" s="74"/>
      <c r="G653" s="74"/>
    </row>
    <row r="654">
      <c r="A654" s="74"/>
      <c r="B654" s="74"/>
      <c r="C654" s="74"/>
      <c r="D654" s="74"/>
      <c r="E654" s="74"/>
      <c r="F654" s="74"/>
      <c r="G654" s="74"/>
    </row>
    <row r="655">
      <c r="A655" s="74"/>
      <c r="B655" s="74"/>
      <c r="C655" s="74"/>
      <c r="D655" s="74"/>
      <c r="E655" s="74"/>
      <c r="F655" s="74"/>
      <c r="G655" s="74"/>
    </row>
    <row r="656">
      <c r="A656" s="74"/>
      <c r="B656" s="74"/>
      <c r="C656" s="74"/>
      <c r="D656" s="74"/>
      <c r="E656" s="74"/>
      <c r="F656" s="74"/>
      <c r="G656" s="74"/>
    </row>
    <row r="657">
      <c r="A657" s="74"/>
      <c r="B657" s="74"/>
      <c r="C657" s="74"/>
      <c r="D657" s="74"/>
      <c r="E657" s="74"/>
      <c r="F657" s="74"/>
      <c r="G657" s="74"/>
    </row>
    <row r="658">
      <c r="A658" s="74"/>
      <c r="B658" s="74"/>
      <c r="C658" s="74"/>
      <c r="D658" s="74"/>
      <c r="E658" s="74"/>
      <c r="F658" s="74"/>
      <c r="G658" s="74"/>
    </row>
    <row r="659">
      <c r="A659" s="74"/>
      <c r="B659" s="74"/>
      <c r="C659" s="74"/>
      <c r="D659" s="74"/>
      <c r="E659" s="74"/>
      <c r="F659" s="74"/>
      <c r="G659" s="74"/>
    </row>
    <row r="660">
      <c r="A660" s="74"/>
      <c r="B660" s="74"/>
      <c r="C660" s="74"/>
      <c r="D660" s="74"/>
      <c r="E660" s="74"/>
      <c r="F660" s="74"/>
      <c r="G660" s="74"/>
    </row>
    <row r="661">
      <c r="A661" s="74"/>
      <c r="B661" s="74"/>
      <c r="C661" s="74"/>
      <c r="D661" s="74"/>
      <c r="E661" s="74"/>
      <c r="F661" s="74"/>
      <c r="G661" s="74"/>
    </row>
    <row r="662">
      <c r="A662" s="74"/>
      <c r="B662" s="74"/>
      <c r="C662" s="74"/>
      <c r="D662" s="74"/>
      <c r="E662" s="74"/>
      <c r="F662" s="74"/>
      <c r="G662" s="74"/>
    </row>
    <row r="663">
      <c r="A663" s="74"/>
      <c r="B663" s="74"/>
      <c r="C663" s="74"/>
      <c r="D663" s="74"/>
      <c r="E663" s="74"/>
      <c r="F663" s="74"/>
      <c r="G663" s="74"/>
    </row>
    <row r="664">
      <c r="A664" s="74"/>
      <c r="B664" s="74"/>
      <c r="C664" s="74"/>
      <c r="D664" s="74"/>
      <c r="E664" s="74"/>
      <c r="F664" s="74"/>
      <c r="G664" s="74"/>
    </row>
    <row r="665">
      <c r="A665" s="74"/>
      <c r="B665" s="74"/>
      <c r="C665" s="74"/>
      <c r="D665" s="74"/>
      <c r="E665" s="74"/>
      <c r="F665" s="74"/>
      <c r="G665" s="74"/>
    </row>
    <row r="666">
      <c r="A666" s="74"/>
      <c r="B666" s="74"/>
      <c r="C666" s="74"/>
      <c r="D666" s="74"/>
      <c r="E666" s="74"/>
      <c r="F666" s="74"/>
      <c r="G666" s="74"/>
    </row>
    <row r="667">
      <c r="A667" s="74"/>
      <c r="B667" s="74"/>
      <c r="C667" s="74"/>
      <c r="D667" s="74"/>
      <c r="E667" s="74"/>
      <c r="F667" s="74"/>
      <c r="G667" s="74"/>
    </row>
    <row r="668">
      <c r="A668" s="74"/>
      <c r="B668" s="74"/>
      <c r="C668" s="74"/>
      <c r="D668" s="74"/>
      <c r="E668" s="74"/>
      <c r="F668" s="74"/>
      <c r="G668" s="74"/>
    </row>
    <row r="669">
      <c r="A669" s="74"/>
      <c r="B669" s="74"/>
      <c r="C669" s="74"/>
      <c r="D669" s="74"/>
      <c r="E669" s="74"/>
      <c r="F669" s="74"/>
      <c r="G669" s="74"/>
    </row>
    <row r="670">
      <c r="A670" s="74"/>
      <c r="B670" s="74"/>
      <c r="C670" s="74"/>
      <c r="D670" s="74"/>
      <c r="E670" s="74"/>
      <c r="F670" s="74"/>
      <c r="G670" s="74"/>
    </row>
    <row r="671">
      <c r="A671" s="74"/>
      <c r="B671" s="74"/>
      <c r="C671" s="74"/>
      <c r="D671" s="74"/>
      <c r="E671" s="74"/>
      <c r="F671" s="74"/>
      <c r="G671" s="74"/>
    </row>
    <row r="672">
      <c r="A672" s="74"/>
      <c r="B672" s="74"/>
      <c r="C672" s="74"/>
      <c r="D672" s="74"/>
      <c r="E672" s="74"/>
      <c r="F672" s="74"/>
      <c r="G672" s="74"/>
    </row>
    <row r="673">
      <c r="A673" s="74"/>
      <c r="B673" s="74"/>
      <c r="C673" s="74"/>
      <c r="D673" s="74"/>
      <c r="E673" s="74"/>
      <c r="F673" s="74"/>
      <c r="G673" s="74"/>
    </row>
    <row r="674">
      <c r="A674" s="74"/>
      <c r="B674" s="74"/>
      <c r="C674" s="74"/>
      <c r="D674" s="74"/>
      <c r="E674" s="74"/>
      <c r="F674" s="74"/>
      <c r="G674" s="74"/>
    </row>
    <row r="675">
      <c r="A675" s="74"/>
      <c r="B675" s="74"/>
      <c r="C675" s="74"/>
      <c r="D675" s="74"/>
      <c r="E675" s="74"/>
      <c r="F675" s="74"/>
      <c r="G675" s="74"/>
    </row>
    <row r="676">
      <c r="A676" s="74"/>
      <c r="B676" s="74"/>
      <c r="C676" s="74"/>
      <c r="D676" s="74"/>
      <c r="E676" s="74"/>
      <c r="F676" s="74"/>
      <c r="G676" s="74"/>
    </row>
    <row r="677">
      <c r="A677" s="74"/>
      <c r="B677" s="74"/>
      <c r="C677" s="74"/>
      <c r="D677" s="74"/>
      <c r="E677" s="74"/>
      <c r="F677" s="74"/>
      <c r="G677" s="74"/>
    </row>
    <row r="678">
      <c r="A678" s="74"/>
      <c r="B678" s="74"/>
      <c r="C678" s="74"/>
      <c r="D678" s="74"/>
      <c r="E678" s="74"/>
      <c r="F678" s="74"/>
      <c r="G678" s="74"/>
    </row>
    <row r="679">
      <c r="A679" s="74"/>
      <c r="B679" s="74"/>
      <c r="C679" s="74"/>
      <c r="D679" s="74"/>
      <c r="E679" s="74"/>
      <c r="F679" s="74"/>
      <c r="G679" s="74"/>
    </row>
    <row r="680">
      <c r="A680" s="74"/>
      <c r="B680" s="74"/>
      <c r="C680" s="74"/>
      <c r="D680" s="74"/>
      <c r="E680" s="74"/>
      <c r="F680" s="74"/>
      <c r="G680" s="74"/>
    </row>
    <row r="681">
      <c r="A681" s="74"/>
      <c r="B681" s="74"/>
      <c r="C681" s="74"/>
      <c r="D681" s="74"/>
      <c r="E681" s="74"/>
      <c r="F681" s="74"/>
      <c r="G681" s="74"/>
    </row>
    <row r="682">
      <c r="A682" s="74"/>
      <c r="B682" s="74"/>
      <c r="C682" s="74"/>
      <c r="D682" s="74"/>
      <c r="E682" s="74"/>
      <c r="F682" s="74"/>
      <c r="G682" s="74"/>
    </row>
    <row r="683">
      <c r="A683" s="74"/>
      <c r="B683" s="74"/>
      <c r="C683" s="74"/>
      <c r="D683" s="74"/>
      <c r="E683" s="74"/>
      <c r="F683" s="74"/>
      <c r="G683" s="74"/>
    </row>
    <row r="684">
      <c r="A684" s="74"/>
      <c r="B684" s="74"/>
      <c r="C684" s="74"/>
      <c r="D684" s="74"/>
      <c r="E684" s="74"/>
      <c r="F684" s="74"/>
      <c r="G684" s="74"/>
    </row>
    <row r="685">
      <c r="A685" s="74"/>
      <c r="B685" s="74"/>
      <c r="C685" s="74"/>
      <c r="D685" s="74"/>
      <c r="E685" s="74"/>
      <c r="F685" s="74"/>
      <c r="G685" s="74"/>
    </row>
    <row r="686">
      <c r="A686" s="74"/>
      <c r="B686" s="74"/>
      <c r="C686" s="74"/>
      <c r="D686" s="74"/>
      <c r="E686" s="74"/>
      <c r="F686" s="74"/>
      <c r="G686" s="74"/>
    </row>
    <row r="687">
      <c r="A687" s="74"/>
      <c r="B687" s="74"/>
      <c r="C687" s="74"/>
      <c r="D687" s="74"/>
      <c r="E687" s="74"/>
      <c r="F687" s="74"/>
      <c r="G687" s="74"/>
    </row>
    <row r="688">
      <c r="A688" s="74"/>
      <c r="B688" s="74"/>
      <c r="C688" s="74"/>
      <c r="D688" s="74"/>
      <c r="E688" s="74"/>
      <c r="F688" s="74"/>
      <c r="G688" s="74"/>
    </row>
    <row r="689">
      <c r="A689" s="74"/>
      <c r="B689" s="74"/>
      <c r="C689" s="74"/>
      <c r="D689" s="74"/>
      <c r="E689" s="74"/>
      <c r="F689" s="74"/>
      <c r="G689" s="74"/>
    </row>
    <row r="690">
      <c r="A690" s="74"/>
      <c r="B690" s="74"/>
      <c r="C690" s="74"/>
      <c r="D690" s="74"/>
      <c r="E690" s="74"/>
      <c r="F690" s="74"/>
      <c r="G690" s="74"/>
    </row>
    <row r="691">
      <c r="A691" s="74"/>
      <c r="B691" s="74"/>
      <c r="C691" s="74"/>
      <c r="D691" s="74"/>
      <c r="E691" s="74"/>
      <c r="F691" s="74"/>
      <c r="G691" s="74"/>
    </row>
    <row r="692">
      <c r="A692" s="74"/>
      <c r="B692" s="74"/>
      <c r="C692" s="74"/>
      <c r="D692" s="74"/>
      <c r="E692" s="74"/>
      <c r="F692" s="74"/>
      <c r="G692" s="74"/>
    </row>
    <row r="693">
      <c r="A693" s="74"/>
      <c r="B693" s="74"/>
      <c r="C693" s="74"/>
      <c r="D693" s="74"/>
      <c r="E693" s="74"/>
      <c r="F693" s="74"/>
      <c r="G693" s="74"/>
    </row>
    <row r="694">
      <c r="A694" s="74"/>
      <c r="B694" s="74"/>
      <c r="C694" s="74"/>
      <c r="D694" s="74"/>
      <c r="E694" s="74"/>
      <c r="F694" s="74"/>
      <c r="G694" s="74"/>
    </row>
    <row r="695">
      <c r="A695" s="74"/>
      <c r="B695" s="74"/>
      <c r="C695" s="74"/>
      <c r="D695" s="74"/>
      <c r="E695" s="74"/>
      <c r="F695" s="74"/>
      <c r="G695" s="74"/>
    </row>
    <row r="696">
      <c r="A696" s="74"/>
      <c r="B696" s="74"/>
      <c r="C696" s="74"/>
      <c r="D696" s="74"/>
      <c r="E696" s="74"/>
      <c r="F696" s="74"/>
      <c r="G696" s="74"/>
    </row>
    <row r="697">
      <c r="A697" s="74"/>
      <c r="B697" s="74"/>
      <c r="C697" s="74"/>
      <c r="D697" s="74"/>
      <c r="E697" s="74"/>
      <c r="F697" s="74"/>
      <c r="G697" s="74"/>
    </row>
    <row r="698">
      <c r="A698" s="74"/>
      <c r="B698" s="74"/>
      <c r="C698" s="74"/>
      <c r="D698" s="74"/>
      <c r="E698" s="74"/>
      <c r="F698" s="74"/>
      <c r="G698" s="74"/>
    </row>
    <row r="699">
      <c r="A699" s="74"/>
      <c r="B699" s="74"/>
      <c r="C699" s="74"/>
      <c r="D699" s="74"/>
      <c r="E699" s="74"/>
      <c r="F699" s="74"/>
      <c r="G699" s="74"/>
    </row>
    <row r="700">
      <c r="A700" s="74"/>
      <c r="B700" s="74"/>
      <c r="C700" s="74"/>
      <c r="D700" s="74"/>
      <c r="E700" s="74"/>
      <c r="F700" s="74"/>
      <c r="G700" s="74"/>
    </row>
    <row r="701">
      <c r="A701" s="74"/>
      <c r="B701" s="74"/>
      <c r="C701" s="74"/>
      <c r="D701" s="74"/>
      <c r="E701" s="74"/>
      <c r="F701" s="74"/>
      <c r="G701" s="74"/>
    </row>
    <row r="702">
      <c r="A702" s="74"/>
      <c r="B702" s="74"/>
      <c r="C702" s="74"/>
      <c r="D702" s="74"/>
      <c r="E702" s="74"/>
      <c r="F702" s="74"/>
      <c r="G702" s="74"/>
    </row>
    <row r="703">
      <c r="A703" s="74"/>
      <c r="B703" s="74"/>
      <c r="C703" s="74"/>
      <c r="D703" s="74"/>
      <c r="E703" s="74"/>
      <c r="F703" s="74"/>
      <c r="G703" s="74"/>
    </row>
    <row r="704">
      <c r="A704" s="74"/>
      <c r="B704" s="74"/>
      <c r="C704" s="74"/>
      <c r="D704" s="74"/>
      <c r="E704" s="74"/>
      <c r="F704" s="74"/>
      <c r="G704" s="74"/>
    </row>
    <row r="705">
      <c r="A705" s="74"/>
      <c r="B705" s="74"/>
      <c r="C705" s="74"/>
      <c r="D705" s="74"/>
      <c r="E705" s="74"/>
      <c r="F705" s="74"/>
      <c r="G705" s="74"/>
    </row>
    <row r="706">
      <c r="A706" s="74"/>
      <c r="B706" s="74"/>
      <c r="C706" s="74"/>
      <c r="D706" s="74"/>
      <c r="E706" s="74"/>
      <c r="F706" s="74"/>
      <c r="G706" s="74"/>
    </row>
    <row r="707">
      <c r="A707" s="74"/>
      <c r="B707" s="74"/>
      <c r="C707" s="74"/>
      <c r="D707" s="74"/>
      <c r="E707" s="74"/>
      <c r="F707" s="74"/>
      <c r="G707" s="74"/>
    </row>
    <row r="708">
      <c r="A708" s="74"/>
      <c r="B708" s="74"/>
      <c r="C708" s="74"/>
      <c r="D708" s="74"/>
      <c r="E708" s="74"/>
      <c r="F708" s="74"/>
      <c r="G708" s="74"/>
    </row>
    <row r="709">
      <c r="A709" s="74"/>
      <c r="B709" s="74"/>
      <c r="C709" s="74"/>
      <c r="D709" s="74"/>
      <c r="E709" s="74"/>
      <c r="F709" s="74"/>
      <c r="G709" s="74"/>
    </row>
    <row r="710">
      <c r="A710" s="74"/>
      <c r="B710" s="74"/>
      <c r="C710" s="74"/>
      <c r="D710" s="74"/>
      <c r="E710" s="74"/>
      <c r="F710" s="74"/>
      <c r="G710" s="74"/>
    </row>
    <row r="711">
      <c r="A711" s="74"/>
      <c r="B711" s="74"/>
      <c r="C711" s="74"/>
      <c r="D711" s="74"/>
      <c r="E711" s="74"/>
      <c r="F711" s="74"/>
      <c r="G711" s="74"/>
    </row>
    <row r="712">
      <c r="A712" s="74"/>
      <c r="B712" s="74"/>
      <c r="C712" s="74"/>
      <c r="D712" s="74"/>
      <c r="E712" s="74"/>
      <c r="F712" s="74"/>
      <c r="G712" s="74"/>
    </row>
    <row r="713">
      <c r="A713" s="74"/>
      <c r="B713" s="74"/>
      <c r="C713" s="74"/>
      <c r="D713" s="74"/>
      <c r="E713" s="74"/>
      <c r="F713" s="74"/>
      <c r="G713" s="74"/>
    </row>
    <row r="714">
      <c r="A714" s="74"/>
      <c r="B714" s="74"/>
      <c r="C714" s="74"/>
      <c r="D714" s="74"/>
      <c r="E714" s="74"/>
      <c r="F714" s="74"/>
      <c r="G714" s="74"/>
    </row>
    <row r="715">
      <c r="A715" s="74"/>
      <c r="B715" s="74"/>
      <c r="C715" s="74"/>
      <c r="D715" s="74"/>
      <c r="E715" s="74"/>
      <c r="F715" s="74"/>
      <c r="G715" s="74"/>
    </row>
    <row r="716">
      <c r="A716" s="74"/>
      <c r="B716" s="74"/>
      <c r="C716" s="74"/>
      <c r="D716" s="74"/>
      <c r="E716" s="74"/>
      <c r="F716" s="74"/>
      <c r="G716" s="74"/>
    </row>
    <row r="717">
      <c r="A717" s="74"/>
      <c r="B717" s="74"/>
      <c r="C717" s="74"/>
      <c r="D717" s="74"/>
      <c r="E717" s="74"/>
      <c r="F717" s="74"/>
      <c r="G717" s="74"/>
    </row>
    <row r="718">
      <c r="A718" s="74"/>
      <c r="B718" s="74"/>
      <c r="C718" s="74"/>
      <c r="D718" s="74"/>
      <c r="E718" s="74"/>
      <c r="F718" s="74"/>
      <c r="G718" s="74"/>
    </row>
    <row r="719">
      <c r="A719" s="74"/>
      <c r="B719" s="74"/>
      <c r="C719" s="74"/>
      <c r="D719" s="74"/>
      <c r="E719" s="74"/>
      <c r="F719" s="74"/>
      <c r="G719" s="74"/>
    </row>
    <row r="720">
      <c r="A720" s="74"/>
      <c r="B720" s="74"/>
      <c r="C720" s="74"/>
      <c r="D720" s="74"/>
      <c r="E720" s="74"/>
      <c r="F720" s="74"/>
      <c r="G720" s="74"/>
    </row>
    <row r="721">
      <c r="A721" s="74"/>
      <c r="B721" s="74"/>
      <c r="C721" s="74"/>
      <c r="D721" s="74"/>
      <c r="E721" s="74"/>
      <c r="F721" s="74"/>
      <c r="G721" s="74"/>
    </row>
    <row r="722">
      <c r="A722" s="74"/>
      <c r="B722" s="74"/>
      <c r="C722" s="74"/>
      <c r="D722" s="74"/>
      <c r="E722" s="74"/>
      <c r="F722" s="74"/>
      <c r="G722" s="74"/>
    </row>
    <row r="723">
      <c r="A723" s="74"/>
      <c r="B723" s="74"/>
      <c r="C723" s="74"/>
      <c r="D723" s="74"/>
      <c r="E723" s="74"/>
      <c r="F723" s="74"/>
      <c r="G723" s="74"/>
    </row>
    <row r="724">
      <c r="A724" s="74"/>
      <c r="B724" s="74"/>
      <c r="C724" s="74"/>
      <c r="D724" s="74"/>
      <c r="E724" s="74"/>
      <c r="F724" s="74"/>
      <c r="G724" s="74"/>
    </row>
    <row r="725">
      <c r="A725" s="74"/>
      <c r="B725" s="74"/>
      <c r="C725" s="74"/>
      <c r="D725" s="74"/>
      <c r="E725" s="74"/>
      <c r="F725" s="74"/>
      <c r="G725" s="74"/>
    </row>
    <row r="726">
      <c r="A726" s="74"/>
      <c r="B726" s="74"/>
      <c r="C726" s="74"/>
      <c r="D726" s="74"/>
      <c r="E726" s="74"/>
      <c r="F726" s="74"/>
      <c r="G726" s="74"/>
    </row>
    <row r="727">
      <c r="A727" s="74"/>
      <c r="B727" s="74"/>
      <c r="C727" s="74"/>
      <c r="D727" s="74"/>
      <c r="E727" s="74"/>
      <c r="F727" s="74"/>
      <c r="G727" s="74"/>
    </row>
    <row r="728">
      <c r="A728" s="74"/>
      <c r="B728" s="74"/>
      <c r="C728" s="74"/>
      <c r="D728" s="74"/>
      <c r="E728" s="74"/>
      <c r="F728" s="74"/>
      <c r="G728" s="74"/>
    </row>
    <row r="729">
      <c r="A729" s="74"/>
      <c r="B729" s="74"/>
      <c r="C729" s="74"/>
      <c r="D729" s="74"/>
      <c r="E729" s="74"/>
      <c r="F729" s="74"/>
      <c r="G729" s="74"/>
    </row>
    <row r="730">
      <c r="A730" s="74"/>
      <c r="B730" s="74"/>
      <c r="C730" s="74"/>
      <c r="D730" s="74"/>
      <c r="E730" s="74"/>
      <c r="F730" s="74"/>
      <c r="G730" s="74"/>
    </row>
    <row r="731">
      <c r="A731" s="74"/>
      <c r="B731" s="74"/>
      <c r="C731" s="74"/>
      <c r="D731" s="74"/>
      <c r="E731" s="74"/>
      <c r="F731" s="74"/>
      <c r="G731" s="74"/>
    </row>
    <row r="732">
      <c r="A732" s="74"/>
      <c r="B732" s="74"/>
      <c r="C732" s="74"/>
      <c r="D732" s="74"/>
      <c r="E732" s="74"/>
      <c r="F732" s="74"/>
      <c r="G732" s="74"/>
    </row>
    <row r="733">
      <c r="A733" s="74"/>
      <c r="B733" s="74"/>
      <c r="C733" s="74"/>
      <c r="D733" s="74"/>
      <c r="E733" s="74"/>
      <c r="F733" s="74"/>
      <c r="G733" s="74"/>
    </row>
    <row r="734">
      <c r="A734" s="74"/>
      <c r="B734" s="74"/>
      <c r="C734" s="74"/>
      <c r="D734" s="74"/>
      <c r="E734" s="74"/>
      <c r="F734" s="74"/>
      <c r="G734" s="74"/>
    </row>
    <row r="735">
      <c r="A735" s="74"/>
      <c r="B735" s="74"/>
      <c r="C735" s="74"/>
      <c r="D735" s="74"/>
      <c r="E735" s="74"/>
      <c r="F735" s="74"/>
      <c r="G735" s="74"/>
    </row>
    <row r="736">
      <c r="A736" s="74"/>
      <c r="B736" s="74"/>
      <c r="C736" s="74"/>
      <c r="D736" s="74"/>
      <c r="E736" s="74"/>
      <c r="F736" s="74"/>
      <c r="G736" s="74"/>
    </row>
    <row r="737">
      <c r="A737" s="74"/>
      <c r="B737" s="74"/>
      <c r="C737" s="74"/>
      <c r="D737" s="74"/>
      <c r="E737" s="74"/>
      <c r="F737" s="74"/>
      <c r="G737" s="74"/>
    </row>
    <row r="738">
      <c r="A738" s="74"/>
      <c r="B738" s="74"/>
      <c r="C738" s="74"/>
      <c r="D738" s="74"/>
      <c r="E738" s="74"/>
      <c r="F738" s="74"/>
      <c r="G738" s="74"/>
    </row>
    <row r="739">
      <c r="A739" s="74"/>
      <c r="B739" s="74"/>
      <c r="C739" s="74"/>
      <c r="D739" s="74"/>
      <c r="E739" s="74"/>
      <c r="F739" s="74"/>
      <c r="G739" s="74"/>
    </row>
    <row r="740">
      <c r="A740" s="74"/>
      <c r="B740" s="74"/>
      <c r="C740" s="74"/>
      <c r="D740" s="74"/>
      <c r="E740" s="74"/>
      <c r="F740" s="74"/>
      <c r="G740" s="74"/>
    </row>
    <row r="741">
      <c r="A741" s="74"/>
      <c r="B741" s="74"/>
      <c r="C741" s="74"/>
      <c r="D741" s="74"/>
      <c r="E741" s="74"/>
      <c r="F741" s="74"/>
      <c r="G741" s="74"/>
    </row>
    <row r="742">
      <c r="A742" s="74"/>
      <c r="B742" s="74"/>
      <c r="C742" s="74"/>
      <c r="D742" s="74"/>
      <c r="E742" s="74"/>
      <c r="F742" s="74"/>
      <c r="G742" s="74"/>
    </row>
    <row r="743">
      <c r="A743" s="74"/>
      <c r="B743" s="74"/>
      <c r="C743" s="74"/>
      <c r="D743" s="74"/>
      <c r="E743" s="74"/>
      <c r="F743" s="74"/>
      <c r="G743" s="74"/>
    </row>
    <row r="744">
      <c r="A744" s="74"/>
      <c r="B744" s="74"/>
      <c r="C744" s="74"/>
      <c r="D744" s="74"/>
      <c r="E744" s="74"/>
      <c r="F744" s="74"/>
      <c r="G744" s="74"/>
    </row>
    <row r="745">
      <c r="A745" s="74"/>
      <c r="B745" s="74"/>
      <c r="C745" s="74"/>
      <c r="D745" s="74"/>
      <c r="E745" s="74"/>
      <c r="F745" s="74"/>
      <c r="G745" s="74"/>
    </row>
    <row r="746">
      <c r="A746" s="74"/>
      <c r="B746" s="74"/>
      <c r="C746" s="74"/>
      <c r="D746" s="74"/>
      <c r="E746" s="74"/>
      <c r="F746" s="74"/>
      <c r="G746" s="74"/>
    </row>
    <row r="747">
      <c r="A747" s="74"/>
      <c r="B747" s="74"/>
      <c r="C747" s="74"/>
      <c r="D747" s="74"/>
      <c r="E747" s="74"/>
      <c r="F747" s="74"/>
      <c r="G747" s="74"/>
    </row>
    <row r="748">
      <c r="A748" s="74"/>
      <c r="B748" s="74"/>
      <c r="C748" s="74"/>
      <c r="D748" s="74"/>
      <c r="E748" s="74"/>
      <c r="F748" s="74"/>
      <c r="G748" s="74"/>
    </row>
    <row r="749">
      <c r="A749" s="74"/>
      <c r="B749" s="74"/>
      <c r="C749" s="74"/>
      <c r="D749" s="74"/>
      <c r="E749" s="74"/>
      <c r="F749" s="74"/>
      <c r="G749" s="74"/>
    </row>
    <row r="750">
      <c r="A750" s="74"/>
      <c r="B750" s="74"/>
      <c r="C750" s="74"/>
      <c r="D750" s="74"/>
      <c r="E750" s="74"/>
      <c r="F750" s="74"/>
      <c r="G750" s="74"/>
    </row>
    <row r="751">
      <c r="A751" s="74"/>
      <c r="B751" s="74"/>
      <c r="C751" s="74"/>
      <c r="D751" s="74"/>
      <c r="E751" s="74"/>
      <c r="F751" s="74"/>
      <c r="G751" s="74"/>
    </row>
    <row r="752">
      <c r="A752" s="74"/>
      <c r="B752" s="74"/>
      <c r="C752" s="74"/>
      <c r="D752" s="74"/>
      <c r="E752" s="74"/>
      <c r="F752" s="74"/>
      <c r="G752" s="74"/>
    </row>
    <row r="753">
      <c r="A753" s="74"/>
      <c r="B753" s="74"/>
      <c r="C753" s="74"/>
      <c r="D753" s="74"/>
      <c r="E753" s="74"/>
      <c r="F753" s="74"/>
      <c r="G753" s="74"/>
    </row>
    <row r="754">
      <c r="A754" s="74"/>
      <c r="B754" s="74"/>
      <c r="C754" s="74"/>
      <c r="D754" s="74"/>
      <c r="E754" s="74"/>
      <c r="F754" s="74"/>
      <c r="G754" s="74"/>
    </row>
    <row r="755">
      <c r="A755" s="74"/>
      <c r="B755" s="74"/>
      <c r="C755" s="74"/>
      <c r="D755" s="74"/>
      <c r="E755" s="74"/>
      <c r="F755" s="74"/>
      <c r="G755" s="74"/>
    </row>
    <row r="756">
      <c r="A756" s="74"/>
      <c r="B756" s="74"/>
      <c r="C756" s="74"/>
      <c r="D756" s="74"/>
      <c r="E756" s="74"/>
      <c r="F756" s="74"/>
      <c r="G756" s="74"/>
    </row>
    <row r="757">
      <c r="A757" s="74"/>
      <c r="B757" s="74"/>
      <c r="C757" s="74"/>
      <c r="D757" s="74"/>
      <c r="E757" s="74"/>
      <c r="F757" s="74"/>
      <c r="G757" s="74"/>
    </row>
    <row r="758">
      <c r="A758" s="74"/>
      <c r="B758" s="74"/>
      <c r="C758" s="74"/>
      <c r="D758" s="74"/>
      <c r="E758" s="74"/>
      <c r="F758" s="74"/>
      <c r="G758" s="74"/>
    </row>
    <row r="759">
      <c r="A759" s="74"/>
      <c r="B759" s="74"/>
      <c r="C759" s="74"/>
      <c r="D759" s="74"/>
      <c r="E759" s="74"/>
      <c r="F759" s="74"/>
      <c r="G759" s="74"/>
    </row>
    <row r="760">
      <c r="A760" s="74"/>
      <c r="B760" s="74"/>
      <c r="C760" s="74"/>
      <c r="D760" s="74"/>
      <c r="E760" s="74"/>
      <c r="F760" s="74"/>
      <c r="G760" s="74"/>
    </row>
    <row r="761">
      <c r="A761" s="74"/>
      <c r="B761" s="74"/>
      <c r="C761" s="74"/>
      <c r="D761" s="74"/>
      <c r="E761" s="74"/>
      <c r="F761" s="74"/>
      <c r="G761" s="74"/>
    </row>
    <row r="762">
      <c r="A762" s="74"/>
      <c r="B762" s="74"/>
      <c r="C762" s="74"/>
      <c r="D762" s="74"/>
      <c r="E762" s="74"/>
      <c r="F762" s="74"/>
      <c r="G762" s="74"/>
    </row>
    <row r="763">
      <c r="A763" s="74"/>
      <c r="B763" s="74"/>
      <c r="C763" s="74"/>
      <c r="D763" s="74"/>
      <c r="E763" s="74"/>
      <c r="F763" s="74"/>
      <c r="G763" s="74"/>
    </row>
    <row r="764">
      <c r="A764" s="74"/>
      <c r="B764" s="74"/>
      <c r="C764" s="74"/>
      <c r="D764" s="74"/>
      <c r="E764" s="74"/>
      <c r="F764" s="74"/>
      <c r="G764" s="74"/>
    </row>
    <row r="765">
      <c r="A765" s="74"/>
      <c r="B765" s="74"/>
      <c r="C765" s="74"/>
      <c r="D765" s="74"/>
      <c r="E765" s="74"/>
      <c r="F765" s="74"/>
      <c r="G765" s="74"/>
    </row>
    <row r="766">
      <c r="A766" s="74"/>
      <c r="B766" s="74"/>
      <c r="C766" s="74"/>
      <c r="D766" s="74"/>
      <c r="E766" s="74"/>
      <c r="F766" s="74"/>
      <c r="G766" s="74"/>
    </row>
    <row r="767">
      <c r="A767" s="74"/>
      <c r="B767" s="74"/>
      <c r="C767" s="74"/>
      <c r="D767" s="74"/>
      <c r="E767" s="74"/>
      <c r="F767" s="74"/>
      <c r="G767" s="74"/>
    </row>
    <row r="768">
      <c r="A768" s="74"/>
      <c r="B768" s="74"/>
      <c r="C768" s="74"/>
      <c r="D768" s="74"/>
      <c r="E768" s="74"/>
      <c r="F768" s="74"/>
      <c r="G768" s="74"/>
    </row>
    <row r="769">
      <c r="A769" s="74"/>
      <c r="B769" s="74"/>
      <c r="C769" s="74"/>
      <c r="D769" s="74"/>
      <c r="E769" s="74"/>
      <c r="F769" s="74"/>
      <c r="G769" s="74"/>
    </row>
    <row r="770">
      <c r="A770" s="74"/>
      <c r="B770" s="74"/>
      <c r="C770" s="74"/>
      <c r="D770" s="74"/>
      <c r="E770" s="74"/>
      <c r="F770" s="74"/>
      <c r="G770" s="74"/>
    </row>
    <row r="771">
      <c r="A771" s="74"/>
      <c r="B771" s="74"/>
      <c r="C771" s="74"/>
      <c r="D771" s="74"/>
      <c r="E771" s="74"/>
      <c r="F771" s="74"/>
      <c r="G771" s="74"/>
    </row>
    <row r="772">
      <c r="A772" s="74"/>
      <c r="B772" s="74"/>
      <c r="C772" s="74"/>
      <c r="D772" s="74"/>
      <c r="E772" s="74"/>
      <c r="F772" s="74"/>
      <c r="G772" s="74"/>
    </row>
    <row r="773">
      <c r="A773" s="74"/>
      <c r="B773" s="74"/>
      <c r="C773" s="74"/>
      <c r="D773" s="74"/>
      <c r="E773" s="74"/>
      <c r="F773" s="74"/>
      <c r="G773" s="74"/>
    </row>
    <row r="774">
      <c r="A774" s="74"/>
      <c r="B774" s="74"/>
      <c r="C774" s="74"/>
      <c r="D774" s="74"/>
      <c r="E774" s="74"/>
      <c r="F774" s="74"/>
      <c r="G774" s="74"/>
    </row>
    <row r="775">
      <c r="A775" s="74"/>
      <c r="B775" s="74"/>
      <c r="C775" s="74"/>
      <c r="D775" s="74"/>
      <c r="E775" s="74"/>
      <c r="F775" s="74"/>
      <c r="G775" s="74"/>
    </row>
    <row r="776">
      <c r="A776" s="74"/>
      <c r="B776" s="74"/>
      <c r="C776" s="74"/>
      <c r="D776" s="74"/>
      <c r="E776" s="74"/>
      <c r="F776" s="74"/>
      <c r="G776" s="74"/>
    </row>
    <row r="777">
      <c r="A777" s="74"/>
      <c r="B777" s="74"/>
      <c r="C777" s="74"/>
      <c r="D777" s="74"/>
      <c r="E777" s="74"/>
      <c r="F777" s="74"/>
      <c r="G777" s="74"/>
    </row>
    <row r="778">
      <c r="A778" s="74"/>
      <c r="B778" s="74"/>
      <c r="C778" s="74"/>
      <c r="D778" s="74"/>
      <c r="E778" s="74"/>
      <c r="F778" s="74"/>
      <c r="G778" s="74"/>
    </row>
    <row r="779">
      <c r="A779" s="74"/>
      <c r="B779" s="74"/>
      <c r="C779" s="74"/>
      <c r="D779" s="74"/>
      <c r="E779" s="74"/>
      <c r="F779" s="74"/>
      <c r="G779" s="74"/>
    </row>
    <row r="780">
      <c r="A780" s="74"/>
      <c r="B780" s="74"/>
      <c r="C780" s="74"/>
      <c r="D780" s="74"/>
      <c r="E780" s="74"/>
      <c r="F780" s="74"/>
      <c r="G780" s="74"/>
    </row>
    <row r="781">
      <c r="A781" s="74"/>
      <c r="B781" s="74"/>
      <c r="C781" s="74"/>
      <c r="D781" s="74"/>
      <c r="E781" s="74"/>
      <c r="F781" s="74"/>
      <c r="G781" s="74"/>
    </row>
    <row r="782">
      <c r="A782" s="74"/>
      <c r="B782" s="74"/>
      <c r="C782" s="74"/>
      <c r="D782" s="74"/>
      <c r="E782" s="74"/>
      <c r="F782" s="74"/>
      <c r="G782" s="74"/>
    </row>
    <row r="783">
      <c r="A783" s="74"/>
      <c r="B783" s="74"/>
      <c r="C783" s="74"/>
      <c r="D783" s="74"/>
      <c r="E783" s="74"/>
      <c r="F783" s="74"/>
      <c r="G783" s="74"/>
    </row>
    <row r="784">
      <c r="A784" s="74"/>
      <c r="B784" s="74"/>
      <c r="C784" s="74"/>
      <c r="D784" s="74"/>
      <c r="E784" s="74"/>
      <c r="F784" s="74"/>
      <c r="G784" s="74"/>
    </row>
    <row r="785">
      <c r="A785" s="74"/>
      <c r="B785" s="74"/>
      <c r="C785" s="74"/>
      <c r="D785" s="74"/>
      <c r="E785" s="74"/>
      <c r="F785" s="74"/>
      <c r="G785" s="74"/>
    </row>
    <row r="786">
      <c r="A786" s="74"/>
      <c r="B786" s="74"/>
      <c r="C786" s="74"/>
      <c r="D786" s="74"/>
      <c r="E786" s="74"/>
      <c r="F786" s="74"/>
      <c r="G786" s="74"/>
    </row>
    <row r="787">
      <c r="A787" s="74"/>
      <c r="B787" s="74"/>
      <c r="C787" s="74"/>
      <c r="D787" s="74"/>
      <c r="E787" s="74"/>
      <c r="F787" s="74"/>
      <c r="G787" s="74"/>
    </row>
    <row r="788">
      <c r="A788" s="74"/>
      <c r="B788" s="74"/>
      <c r="C788" s="74"/>
      <c r="D788" s="74"/>
      <c r="E788" s="74"/>
      <c r="F788" s="74"/>
      <c r="G788" s="74"/>
    </row>
    <row r="789">
      <c r="A789" s="74"/>
      <c r="B789" s="74"/>
      <c r="C789" s="74"/>
      <c r="D789" s="74"/>
      <c r="E789" s="74"/>
      <c r="F789" s="74"/>
      <c r="G789" s="74"/>
    </row>
    <row r="790">
      <c r="A790" s="74"/>
      <c r="B790" s="74"/>
      <c r="C790" s="74"/>
      <c r="D790" s="74"/>
      <c r="E790" s="74"/>
      <c r="F790" s="74"/>
      <c r="G790" s="74"/>
    </row>
    <row r="791">
      <c r="A791" s="74"/>
      <c r="B791" s="74"/>
      <c r="C791" s="74"/>
      <c r="D791" s="74"/>
      <c r="E791" s="74"/>
      <c r="F791" s="74"/>
      <c r="G791" s="74"/>
    </row>
    <row r="792">
      <c r="A792" s="74"/>
      <c r="B792" s="74"/>
      <c r="C792" s="74"/>
      <c r="D792" s="74"/>
      <c r="E792" s="74"/>
      <c r="F792" s="74"/>
      <c r="G792" s="74"/>
    </row>
    <row r="793">
      <c r="A793" s="74"/>
      <c r="B793" s="74"/>
      <c r="C793" s="74"/>
      <c r="D793" s="74"/>
      <c r="E793" s="74"/>
      <c r="F793" s="74"/>
      <c r="G793" s="74"/>
    </row>
    <row r="794">
      <c r="A794" s="74"/>
      <c r="B794" s="74"/>
      <c r="C794" s="74"/>
      <c r="D794" s="74"/>
      <c r="E794" s="74"/>
      <c r="F794" s="74"/>
      <c r="G794" s="74"/>
    </row>
    <row r="795">
      <c r="A795" s="74"/>
      <c r="B795" s="74"/>
      <c r="C795" s="74"/>
      <c r="D795" s="74"/>
      <c r="E795" s="74"/>
      <c r="F795" s="74"/>
      <c r="G795" s="74"/>
    </row>
    <row r="796">
      <c r="A796" s="74"/>
      <c r="B796" s="74"/>
      <c r="C796" s="74"/>
      <c r="D796" s="74"/>
      <c r="E796" s="74"/>
      <c r="F796" s="74"/>
      <c r="G796" s="74"/>
    </row>
    <row r="797">
      <c r="A797" s="74"/>
      <c r="B797" s="74"/>
      <c r="C797" s="74"/>
      <c r="D797" s="74"/>
      <c r="E797" s="74"/>
      <c r="F797" s="74"/>
      <c r="G797" s="74"/>
    </row>
    <row r="798">
      <c r="A798" s="74"/>
      <c r="B798" s="74"/>
      <c r="C798" s="74"/>
      <c r="D798" s="74"/>
      <c r="E798" s="74"/>
      <c r="F798" s="74"/>
      <c r="G798" s="74"/>
    </row>
    <row r="799">
      <c r="A799" s="74"/>
      <c r="B799" s="74"/>
      <c r="C799" s="74"/>
      <c r="D799" s="74"/>
      <c r="E799" s="74"/>
      <c r="F799" s="74"/>
      <c r="G799" s="74"/>
    </row>
    <row r="800">
      <c r="A800" s="74"/>
      <c r="B800" s="74"/>
      <c r="C800" s="74"/>
      <c r="D800" s="74"/>
      <c r="E800" s="74"/>
      <c r="F800" s="74"/>
      <c r="G800" s="74"/>
    </row>
    <row r="801">
      <c r="A801" s="74"/>
      <c r="B801" s="74"/>
      <c r="C801" s="74"/>
      <c r="D801" s="74"/>
      <c r="E801" s="74"/>
      <c r="F801" s="74"/>
      <c r="G801" s="74"/>
    </row>
    <row r="802">
      <c r="A802" s="74"/>
      <c r="B802" s="74"/>
      <c r="C802" s="74"/>
      <c r="D802" s="74"/>
      <c r="E802" s="74"/>
      <c r="F802" s="74"/>
      <c r="G802" s="74"/>
    </row>
    <row r="803">
      <c r="A803" s="74"/>
      <c r="B803" s="74"/>
      <c r="C803" s="74"/>
      <c r="D803" s="74"/>
      <c r="E803" s="74"/>
      <c r="F803" s="74"/>
      <c r="G803" s="74"/>
    </row>
    <row r="804">
      <c r="A804" s="74"/>
      <c r="B804" s="74"/>
      <c r="C804" s="74"/>
      <c r="D804" s="74"/>
      <c r="E804" s="74"/>
      <c r="F804" s="74"/>
      <c r="G804" s="74"/>
    </row>
    <row r="805">
      <c r="A805" s="74"/>
      <c r="B805" s="74"/>
      <c r="C805" s="74"/>
      <c r="D805" s="74"/>
      <c r="E805" s="74"/>
      <c r="F805" s="74"/>
      <c r="G805" s="74"/>
    </row>
    <row r="806">
      <c r="A806" s="74"/>
      <c r="B806" s="74"/>
      <c r="C806" s="74"/>
      <c r="D806" s="74"/>
      <c r="E806" s="74"/>
      <c r="F806" s="74"/>
      <c r="G806" s="74"/>
    </row>
    <row r="807">
      <c r="A807" s="74"/>
      <c r="B807" s="74"/>
      <c r="C807" s="74"/>
      <c r="D807" s="74"/>
      <c r="E807" s="74"/>
      <c r="F807" s="74"/>
      <c r="G807" s="74"/>
    </row>
    <row r="808">
      <c r="A808" s="74"/>
      <c r="B808" s="74"/>
      <c r="C808" s="74"/>
      <c r="D808" s="74"/>
      <c r="E808" s="74"/>
      <c r="F808" s="74"/>
      <c r="G808" s="74"/>
    </row>
    <row r="809">
      <c r="A809" s="74"/>
      <c r="B809" s="74"/>
      <c r="C809" s="74"/>
      <c r="D809" s="74"/>
      <c r="E809" s="74"/>
      <c r="F809" s="74"/>
      <c r="G809" s="74"/>
    </row>
    <row r="810">
      <c r="A810" s="74"/>
      <c r="B810" s="74"/>
      <c r="C810" s="74"/>
      <c r="D810" s="74"/>
      <c r="E810" s="74"/>
      <c r="F810" s="74"/>
      <c r="G810" s="74"/>
    </row>
    <row r="811">
      <c r="A811" s="74"/>
      <c r="B811" s="74"/>
      <c r="C811" s="74"/>
      <c r="D811" s="74"/>
      <c r="E811" s="74"/>
      <c r="F811" s="74"/>
      <c r="G811" s="74"/>
    </row>
    <row r="812">
      <c r="A812" s="74"/>
      <c r="B812" s="74"/>
      <c r="C812" s="74"/>
      <c r="D812" s="74"/>
      <c r="E812" s="74"/>
      <c r="F812" s="74"/>
      <c r="G812" s="74"/>
    </row>
    <row r="813">
      <c r="A813" s="74"/>
      <c r="B813" s="74"/>
      <c r="C813" s="74"/>
      <c r="D813" s="74"/>
      <c r="E813" s="74"/>
      <c r="F813" s="74"/>
      <c r="G813" s="74"/>
    </row>
    <row r="814">
      <c r="A814" s="74"/>
      <c r="B814" s="74"/>
      <c r="C814" s="74"/>
      <c r="D814" s="74"/>
      <c r="E814" s="74"/>
      <c r="F814" s="74"/>
      <c r="G814" s="74"/>
    </row>
    <row r="815">
      <c r="A815" s="74"/>
      <c r="B815" s="74"/>
      <c r="C815" s="74"/>
      <c r="D815" s="74"/>
      <c r="E815" s="74"/>
      <c r="F815" s="74"/>
      <c r="G815" s="74"/>
    </row>
    <row r="816">
      <c r="A816" s="74"/>
      <c r="B816" s="74"/>
      <c r="C816" s="74"/>
      <c r="D816" s="74"/>
      <c r="E816" s="74"/>
      <c r="F816" s="74"/>
      <c r="G816" s="74"/>
    </row>
    <row r="817">
      <c r="A817" s="74"/>
      <c r="B817" s="74"/>
      <c r="C817" s="74"/>
      <c r="D817" s="74"/>
      <c r="E817" s="74"/>
      <c r="F817" s="74"/>
      <c r="G817" s="74"/>
    </row>
    <row r="818">
      <c r="A818" s="74"/>
      <c r="B818" s="74"/>
      <c r="C818" s="74"/>
      <c r="D818" s="74"/>
      <c r="E818" s="74"/>
      <c r="F818" s="74"/>
      <c r="G818" s="74"/>
    </row>
    <row r="819">
      <c r="A819" s="74"/>
      <c r="B819" s="74"/>
      <c r="C819" s="74"/>
      <c r="D819" s="74"/>
      <c r="E819" s="74"/>
      <c r="F819" s="74"/>
      <c r="G819" s="74"/>
    </row>
    <row r="820">
      <c r="A820" s="74"/>
      <c r="B820" s="74"/>
      <c r="C820" s="74"/>
      <c r="D820" s="74"/>
      <c r="E820" s="74"/>
      <c r="F820" s="74"/>
      <c r="G820" s="74"/>
    </row>
    <row r="821">
      <c r="A821" s="74"/>
      <c r="B821" s="74"/>
      <c r="C821" s="74"/>
      <c r="D821" s="74"/>
      <c r="E821" s="74"/>
      <c r="F821" s="74"/>
      <c r="G821" s="74"/>
    </row>
    <row r="822">
      <c r="A822" s="74"/>
      <c r="B822" s="74"/>
      <c r="C822" s="74"/>
      <c r="D822" s="74"/>
      <c r="E822" s="74"/>
      <c r="F822" s="74"/>
      <c r="G822" s="74"/>
    </row>
    <row r="823">
      <c r="A823" s="74"/>
      <c r="B823" s="74"/>
      <c r="C823" s="74"/>
      <c r="D823" s="74"/>
      <c r="E823" s="74"/>
      <c r="F823" s="74"/>
      <c r="G823" s="74"/>
    </row>
    <row r="824">
      <c r="A824" s="74"/>
      <c r="B824" s="74"/>
      <c r="C824" s="74"/>
      <c r="D824" s="74"/>
      <c r="E824" s="74"/>
      <c r="F824" s="74"/>
      <c r="G824" s="74"/>
    </row>
    <row r="825">
      <c r="A825" s="74"/>
      <c r="B825" s="74"/>
      <c r="C825" s="74"/>
      <c r="D825" s="74"/>
      <c r="E825" s="74"/>
      <c r="F825" s="74"/>
      <c r="G825" s="74"/>
    </row>
    <row r="826">
      <c r="A826" s="74"/>
      <c r="B826" s="74"/>
      <c r="C826" s="74"/>
      <c r="D826" s="74"/>
      <c r="E826" s="74"/>
      <c r="F826" s="74"/>
      <c r="G826" s="74"/>
    </row>
    <row r="827">
      <c r="A827" s="74"/>
      <c r="B827" s="74"/>
      <c r="C827" s="74"/>
      <c r="D827" s="74"/>
      <c r="E827" s="74"/>
      <c r="F827" s="74"/>
      <c r="G827" s="74"/>
    </row>
    <row r="828">
      <c r="A828" s="74"/>
      <c r="B828" s="74"/>
      <c r="C828" s="74"/>
      <c r="D828" s="74"/>
      <c r="E828" s="74"/>
      <c r="F828" s="74"/>
      <c r="G828" s="74"/>
    </row>
    <row r="829">
      <c r="A829" s="74"/>
      <c r="B829" s="74"/>
      <c r="C829" s="74"/>
      <c r="D829" s="74"/>
      <c r="E829" s="74"/>
      <c r="F829" s="74"/>
      <c r="G829" s="74"/>
    </row>
    <row r="830">
      <c r="A830" s="74"/>
      <c r="B830" s="74"/>
      <c r="C830" s="74"/>
      <c r="D830" s="74"/>
      <c r="E830" s="74"/>
      <c r="F830" s="74"/>
      <c r="G830" s="74"/>
    </row>
    <row r="831">
      <c r="A831" s="74"/>
      <c r="B831" s="74"/>
      <c r="C831" s="74"/>
      <c r="D831" s="74"/>
      <c r="E831" s="74"/>
      <c r="F831" s="74"/>
      <c r="G831" s="74"/>
    </row>
    <row r="832">
      <c r="A832" s="74"/>
      <c r="B832" s="74"/>
      <c r="C832" s="74"/>
      <c r="D832" s="74"/>
      <c r="E832" s="74"/>
      <c r="F832" s="74"/>
      <c r="G832" s="74"/>
    </row>
    <row r="833">
      <c r="A833" s="74"/>
      <c r="B833" s="74"/>
      <c r="C833" s="74"/>
      <c r="D833" s="74"/>
      <c r="E833" s="74"/>
      <c r="F833" s="74"/>
      <c r="G833" s="74"/>
    </row>
    <row r="834">
      <c r="A834" s="74"/>
      <c r="B834" s="74"/>
      <c r="C834" s="74"/>
      <c r="D834" s="74"/>
      <c r="E834" s="74"/>
      <c r="F834" s="74"/>
      <c r="G834" s="74"/>
    </row>
    <row r="835">
      <c r="A835" s="74"/>
      <c r="B835" s="74"/>
      <c r="C835" s="74"/>
      <c r="D835" s="74"/>
      <c r="E835" s="74"/>
      <c r="F835" s="74"/>
      <c r="G835" s="74"/>
    </row>
    <row r="836">
      <c r="A836" s="74"/>
      <c r="B836" s="74"/>
      <c r="C836" s="74"/>
      <c r="D836" s="74"/>
      <c r="E836" s="74"/>
      <c r="F836" s="74"/>
      <c r="G836" s="74"/>
    </row>
    <row r="837">
      <c r="A837" s="74"/>
      <c r="B837" s="74"/>
      <c r="C837" s="74"/>
      <c r="D837" s="74"/>
      <c r="E837" s="74"/>
      <c r="F837" s="74"/>
      <c r="G837" s="74"/>
    </row>
    <row r="838">
      <c r="A838" s="74"/>
      <c r="B838" s="74"/>
      <c r="C838" s="74"/>
      <c r="D838" s="74"/>
      <c r="E838" s="74"/>
      <c r="F838" s="74"/>
      <c r="G838" s="74"/>
    </row>
    <row r="839">
      <c r="A839" s="74"/>
      <c r="B839" s="74"/>
      <c r="C839" s="74"/>
      <c r="D839" s="74"/>
      <c r="E839" s="74"/>
      <c r="F839" s="74"/>
      <c r="G839" s="74"/>
    </row>
    <row r="840">
      <c r="A840" s="74"/>
      <c r="B840" s="74"/>
      <c r="C840" s="74"/>
      <c r="D840" s="74"/>
      <c r="E840" s="74"/>
      <c r="F840" s="74"/>
      <c r="G840" s="74"/>
    </row>
    <row r="841">
      <c r="A841" s="74"/>
      <c r="B841" s="74"/>
      <c r="C841" s="74"/>
      <c r="D841" s="74"/>
      <c r="E841" s="74"/>
      <c r="F841" s="74"/>
      <c r="G841" s="74"/>
    </row>
    <row r="842">
      <c r="A842" s="74"/>
      <c r="B842" s="74"/>
      <c r="C842" s="74"/>
      <c r="D842" s="74"/>
      <c r="E842" s="74"/>
      <c r="F842" s="74"/>
      <c r="G842" s="74"/>
    </row>
    <row r="843">
      <c r="A843" s="74"/>
      <c r="B843" s="74"/>
      <c r="C843" s="74"/>
      <c r="D843" s="74"/>
      <c r="E843" s="74"/>
      <c r="F843" s="74"/>
      <c r="G843" s="74"/>
    </row>
    <row r="844">
      <c r="A844" s="74"/>
      <c r="B844" s="74"/>
      <c r="C844" s="74"/>
      <c r="D844" s="74"/>
      <c r="E844" s="74"/>
      <c r="F844" s="74"/>
      <c r="G844" s="74"/>
    </row>
    <row r="845">
      <c r="A845" s="74"/>
      <c r="B845" s="74"/>
      <c r="C845" s="74"/>
      <c r="D845" s="74"/>
      <c r="E845" s="74"/>
      <c r="F845" s="74"/>
      <c r="G845" s="74"/>
    </row>
    <row r="846">
      <c r="A846" s="74"/>
      <c r="B846" s="74"/>
      <c r="C846" s="74"/>
      <c r="D846" s="74"/>
      <c r="E846" s="74"/>
      <c r="F846" s="74"/>
      <c r="G846" s="74"/>
    </row>
    <row r="847">
      <c r="A847" s="74"/>
      <c r="B847" s="74"/>
      <c r="C847" s="74"/>
      <c r="D847" s="74"/>
      <c r="E847" s="74"/>
      <c r="F847" s="74"/>
      <c r="G847" s="74"/>
    </row>
    <row r="848">
      <c r="A848" s="74"/>
      <c r="B848" s="74"/>
      <c r="C848" s="74"/>
      <c r="D848" s="74"/>
      <c r="E848" s="74"/>
      <c r="F848" s="74"/>
      <c r="G848" s="74"/>
    </row>
    <row r="849">
      <c r="A849" s="74"/>
      <c r="B849" s="74"/>
      <c r="C849" s="74"/>
      <c r="D849" s="74"/>
      <c r="E849" s="74"/>
      <c r="F849" s="74"/>
      <c r="G849" s="74"/>
    </row>
    <row r="850">
      <c r="A850" s="74"/>
      <c r="B850" s="74"/>
      <c r="C850" s="74"/>
      <c r="D850" s="74"/>
      <c r="E850" s="74"/>
      <c r="F850" s="74"/>
      <c r="G850" s="74"/>
    </row>
    <row r="851">
      <c r="A851" s="74"/>
      <c r="B851" s="74"/>
      <c r="C851" s="74"/>
      <c r="D851" s="74"/>
      <c r="E851" s="74"/>
      <c r="F851" s="74"/>
      <c r="G851" s="74"/>
    </row>
    <row r="852">
      <c r="A852" s="74"/>
      <c r="B852" s="74"/>
      <c r="C852" s="74"/>
      <c r="D852" s="74"/>
      <c r="E852" s="74"/>
      <c r="F852" s="74"/>
      <c r="G852" s="74"/>
    </row>
    <row r="853">
      <c r="A853" s="74"/>
      <c r="B853" s="74"/>
      <c r="C853" s="74"/>
      <c r="D853" s="74"/>
      <c r="E853" s="74"/>
      <c r="F853" s="74"/>
      <c r="G853" s="74"/>
    </row>
    <row r="854">
      <c r="A854" s="74"/>
      <c r="B854" s="74"/>
      <c r="C854" s="74"/>
      <c r="D854" s="74"/>
      <c r="E854" s="74"/>
      <c r="F854" s="74"/>
      <c r="G854" s="74"/>
    </row>
    <row r="855">
      <c r="A855" s="74"/>
      <c r="B855" s="74"/>
      <c r="C855" s="74"/>
      <c r="D855" s="74"/>
      <c r="E855" s="74"/>
      <c r="F855" s="74"/>
      <c r="G855" s="74"/>
    </row>
    <row r="856">
      <c r="A856" s="74"/>
      <c r="B856" s="74"/>
      <c r="C856" s="74"/>
      <c r="D856" s="74"/>
      <c r="E856" s="74"/>
      <c r="F856" s="74"/>
      <c r="G856" s="74"/>
    </row>
    <row r="857">
      <c r="A857" s="74"/>
      <c r="B857" s="74"/>
      <c r="C857" s="74"/>
      <c r="D857" s="74"/>
      <c r="E857" s="74"/>
      <c r="F857" s="74"/>
      <c r="G857" s="74"/>
    </row>
    <row r="858">
      <c r="A858" s="74"/>
      <c r="B858" s="74"/>
      <c r="C858" s="74"/>
      <c r="D858" s="74"/>
      <c r="E858" s="74"/>
      <c r="F858" s="74"/>
      <c r="G858" s="74"/>
    </row>
    <row r="859">
      <c r="A859" s="74"/>
      <c r="B859" s="74"/>
      <c r="C859" s="74"/>
      <c r="D859" s="74"/>
      <c r="E859" s="74"/>
      <c r="F859" s="74"/>
      <c r="G859" s="74"/>
    </row>
    <row r="860">
      <c r="A860" s="74"/>
      <c r="B860" s="74"/>
      <c r="C860" s="74"/>
      <c r="D860" s="74"/>
      <c r="E860" s="74"/>
      <c r="F860" s="74"/>
      <c r="G860" s="74"/>
    </row>
    <row r="861">
      <c r="A861" s="74"/>
      <c r="B861" s="74"/>
      <c r="C861" s="74"/>
      <c r="D861" s="74"/>
      <c r="E861" s="74"/>
      <c r="F861" s="74"/>
      <c r="G861" s="74"/>
    </row>
    <row r="862">
      <c r="A862" s="74"/>
      <c r="B862" s="74"/>
      <c r="C862" s="74"/>
      <c r="D862" s="74"/>
      <c r="E862" s="74"/>
      <c r="F862" s="74"/>
      <c r="G862" s="74"/>
    </row>
    <row r="863">
      <c r="A863" s="74"/>
      <c r="B863" s="74"/>
      <c r="C863" s="74"/>
      <c r="D863" s="74"/>
      <c r="E863" s="74"/>
      <c r="F863" s="74"/>
      <c r="G863" s="74"/>
    </row>
    <row r="864">
      <c r="A864" s="74"/>
      <c r="B864" s="74"/>
      <c r="C864" s="74"/>
      <c r="D864" s="74"/>
      <c r="E864" s="74"/>
      <c r="F864" s="74"/>
      <c r="G864" s="74"/>
    </row>
    <row r="865">
      <c r="A865" s="74"/>
      <c r="B865" s="74"/>
      <c r="C865" s="74"/>
      <c r="D865" s="74"/>
      <c r="E865" s="74"/>
      <c r="F865" s="74"/>
      <c r="G865" s="74"/>
    </row>
    <row r="866">
      <c r="A866" s="74"/>
      <c r="B866" s="74"/>
      <c r="C866" s="74"/>
      <c r="D866" s="74"/>
      <c r="E866" s="74"/>
      <c r="F866" s="74"/>
      <c r="G866" s="74"/>
    </row>
    <row r="867">
      <c r="A867" s="74"/>
      <c r="B867" s="74"/>
      <c r="C867" s="74"/>
      <c r="D867" s="74"/>
      <c r="E867" s="74"/>
      <c r="F867" s="74"/>
      <c r="G867" s="74"/>
    </row>
    <row r="868">
      <c r="A868" s="74"/>
      <c r="B868" s="74"/>
      <c r="C868" s="74"/>
      <c r="D868" s="74"/>
      <c r="E868" s="74"/>
      <c r="F868" s="74"/>
      <c r="G868" s="74"/>
    </row>
    <row r="869">
      <c r="A869" s="74"/>
      <c r="B869" s="74"/>
      <c r="C869" s="74"/>
      <c r="D869" s="74"/>
      <c r="E869" s="74"/>
      <c r="F869" s="74"/>
      <c r="G869" s="74"/>
    </row>
    <row r="870">
      <c r="A870" s="74"/>
      <c r="B870" s="74"/>
      <c r="C870" s="74"/>
      <c r="D870" s="74"/>
      <c r="E870" s="74"/>
      <c r="F870" s="74"/>
      <c r="G870" s="74"/>
    </row>
    <row r="871">
      <c r="A871" s="74"/>
      <c r="B871" s="74"/>
      <c r="C871" s="74"/>
      <c r="D871" s="74"/>
      <c r="E871" s="74"/>
      <c r="F871" s="74"/>
      <c r="G871" s="74"/>
    </row>
    <row r="872">
      <c r="A872" s="74"/>
      <c r="B872" s="74"/>
      <c r="C872" s="74"/>
      <c r="D872" s="74"/>
      <c r="E872" s="74"/>
      <c r="F872" s="74"/>
      <c r="G872" s="74"/>
    </row>
    <row r="873">
      <c r="A873" s="74"/>
      <c r="B873" s="74"/>
      <c r="C873" s="74"/>
      <c r="D873" s="74"/>
      <c r="E873" s="74"/>
      <c r="F873" s="74"/>
      <c r="G873" s="74"/>
    </row>
    <row r="874">
      <c r="A874" s="74"/>
      <c r="B874" s="74"/>
      <c r="C874" s="74"/>
      <c r="D874" s="74"/>
      <c r="E874" s="74"/>
      <c r="F874" s="74"/>
      <c r="G874" s="74"/>
    </row>
    <row r="875">
      <c r="A875" s="74"/>
      <c r="B875" s="74"/>
      <c r="C875" s="74"/>
      <c r="D875" s="74"/>
      <c r="E875" s="74"/>
      <c r="F875" s="74"/>
      <c r="G875" s="74"/>
    </row>
    <row r="876">
      <c r="A876" s="74"/>
      <c r="B876" s="74"/>
      <c r="C876" s="74"/>
      <c r="D876" s="74"/>
      <c r="E876" s="74"/>
      <c r="F876" s="74"/>
      <c r="G876" s="74"/>
    </row>
    <row r="877">
      <c r="A877" s="74"/>
      <c r="B877" s="74"/>
      <c r="C877" s="74"/>
      <c r="D877" s="74"/>
      <c r="E877" s="74"/>
      <c r="F877" s="74"/>
      <c r="G877" s="74"/>
    </row>
    <row r="878">
      <c r="A878" s="74"/>
      <c r="B878" s="74"/>
      <c r="C878" s="74"/>
      <c r="D878" s="74"/>
      <c r="E878" s="74"/>
      <c r="F878" s="74"/>
      <c r="G878" s="74"/>
    </row>
    <row r="879">
      <c r="A879" s="74"/>
      <c r="B879" s="74"/>
      <c r="C879" s="74"/>
      <c r="D879" s="74"/>
      <c r="E879" s="74"/>
      <c r="F879" s="74"/>
      <c r="G879" s="74"/>
    </row>
    <row r="880">
      <c r="A880" s="74"/>
      <c r="B880" s="74"/>
      <c r="C880" s="74"/>
      <c r="D880" s="74"/>
      <c r="E880" s="74"/>
      <c r="F880" s="74"/>
      <c r="G880" s="74"/>
    </row>
    <row r="881">
      <c r="A881" s="74"/>
      <c r="B881" s="74"/>
      <c r="C881" s="74"/>
      <c r="D881" s="74"/>
      <c r="E881" s="74"/>
      <c r="F881" s="74"/>
      <c r="G881" s="74"/>
    </row>
    <row r="882">
      <c r="A882" s="74"/>
      <c r="B882" s="74"/>
      <c r="C882" s="74"/>
      <c r="D882" s="74"/>
      <c r="E882" s="74"/>
      <c r="F882" s="74"/>
      <c r="G882" s="74"/>
    </row>
    <row r="883">
      <c r="A883" s="74"/>
      <c r="B883" s="74"/>
      <c r="C883" s="74"/>
      <c r="D883" s="74"/>
      <c r="E883" s="74"/>
      <c r="F883" s="74"/>
      <c r="G883" s="74"/>
    </row>
    <row r="884">
      <c r="A884" s="74"/>
      <c r="B884" s="74"/>
      <c r="C884" s="74"/>
      <c r="D884" s="74"/>
      <c r="E884" s="74"/>
      <c r="F884" s="74"/>
      <c r="G884" s="74"/>
    </row>
    <row r="885">
      <c r="A885" s="74"/>
      <c r="B885" s="74"/>
      <c r="C885" s="74"/>
      <c r="D885" s="74"/>
      <c r="E885" s="74"/>
      <c r="F885" s="74"/>
      <c r="G885" s="74"/>
    </row>
    <row r="886">
      <c r="A886" s="74"/>
      <c r="B886" s="74"/>
      <c r="C886" s="74"/>
      <c r="D886" s="74"/>
      <c r="E886" s="74"/>
      <c r="F886" s="74"/>
      <c r="G886" s="74"/>
    </row>
    <row r="887">
      <c r="A887" s="74"/>
      <c r="B887" s="74"/>
      <c r="C887" s="74"/>
      <c r="D887" s="74"/>
      <c r="E887" s="74"/>
      <c r="F887" s="74"/>
      <c r="G887" s="74"/>
    </row>
    <row r="888">
      <c r="A888" s="74"/>
      <c r="B888" s="74"/>
      <c r="C888" s="74"/>
      <c r="D888" s="74"/>
      <c r="E888" s="74"/>
      <c r="F888" s="74"/>
      <c r="G888" s="74"/>
    </row>
    <row r="889">
      <c r="A889" s="74"/>
      <c r="B889" s="74"/>
      <c r="C889" s="74"/>
      <c r="D889" s="74"/>
      <c r="E889" s="74"/>
      <c r="F889" s="74"/>
      <c r="G889" s="74"/>
    </row>
    <row r="890">
      <c r="A890" s="74"/>
      <c r="B890" s="74"/>
      <c r="C890" s="74"/>
      <c r="D890" s="74"/>
      <c r="E890" s="74"/>
      <c r="F890" s="74"/>
      <c r="G890" s="74"/>
    </row>
    <row r="891">
      <c r="A891" s="74"/>
      <c r="B891" s="74"/>
      <c r="C891" s="74"/>
      <c r="D891" s="74"/>
      <c r="E891" s="74"/>
      <c r="F891" s="74"/>
      <c r="G891" s="74"/>
    </row>
    <row r="892">
      <c r="A892" s="74"/>
      <c r="B892" s="74"/>
      <c r="C892" s="74"/>
      <c r="D892" s="74"/>
      <c r="E892" s="74"/>
      <c r="F892" s="74"/>
      <c r="G892" s="74"/>
    </row>
    <row r="893">
      <c r="A893" s="74"/>
      <c r="B893" s="74"/>
      <c r="C893" s="74"/>
      <c r="D893" s="74"/>
      <c r="E893" s="74"/>
      <c r="F893" s="74"/>
      <c r="G893" s="74"/>
    </row>
    <row r="894">
      <c r="A894" s="74"/>
      <c r="B894" s="74"/>
      <c r="C894" s="74"/>
      <c r="D894" s="74"/>
      <c r="E894" s="74"/>
      <c r="F894" s="74"/>
      <c r="G894" s="74"/>
    </row>
    <row r="895">
      <c r="A895" s="74"/>
      <c r="B895" s="74"/>
      <c r="C895" s="74"/>
      <c r="D895" s="74"/>
      <c r="E895" s="74"/>
      <c r="F895" s="74"/>
      <c r="G895" s="74"/>
    </row>
    <row r="896">
      <c r="A896" s="74"/>
      <c r="B896" s="74"/>
      <c r="C896" s="74"/>
      <c r="D896" s="74"/>
      <c r="E896" s="74"/>
      <c r="F896" s="74"/>
      <c r="G896" s="74"/>
    </row>
    <row r="897">
      <c r="A897" s="74"/>
      <c r="B897" s="74"/>
      <c r="C897" s="74"/>
      <c r="D897" s="74"/>
      <c r="E897" s="74"/>
      <c r="F897" s="74"/>
      <c r="G897" s="74"/>
    </row>
    <row r="898">
      <c r="A898" s="74"/>
      <c r="B898" s="74"/>
      <c r="C898" s="74"/>
      <c r="D898" s="74"/>
      <c r="E898" s="74"/>
      <c r="F898" s="74"/>
      <c r="G898" s="74"/>
    </row>
    <row r="899">
      <c r="A899" s="74"/>
      <c r="B899" s="74"/>
      <c r="C899" s="74"/>
      <c r="D899" s="74"/>
      <c r="E899" s="74"/>
      <c r="F899" s="74"/>
      <c r="G899" s="74"/>
    </row>
    <row r="900">
      <c r="A900" s="74"/>
      <c r="B900" s="74"/>
      <c r="C900" s="74"/>
      <c r="D900" s="74"/>
      <c r="E900" s="74"/>
      <c r="F900" s="74"/>
      <c r="G900" s="74"/>
    </row>
    <row r="901">
      <c r="A901" s="74"/>
      <c r="B901" s="74"/>
      <c r="C901" s="74"/>
      <c r="D901" s="74"/>
      <c r="E901" s="74"/>
      <c r="F901" s="74"/>
      <c r="G901" s="74"/>
    </row>
    <row r="902">
      <c r="A902" s="74"/>
      <c r="B902" s="74"/>
      <c r="C902" s="74"/>
      <c r="D902" s="74"/>
      <c r="E902" s="74"/>
      <c r="F902" s="74"/>
      <c r="G902" s="74"/>
    </row>
    <row r="903">
      <c r="A903" s="74"/>
      <c r="B903" s="74"/>
      <c r="C903" s="74"/>
      <c r="D903" s="74"/>
      <c r="E903" s="74"/>
      <c r="F903" s="74"/>
      <c r="G903" s="74"/>
    </row>
    <row r="904">
      <c r="A904" s="74"/>
      <c r="B904" s="74"/>
      <c r="C904" s="74"/>
      <c r="D904" s="74"/>
      <c r="E904" s="74"/>
      <c r="F904" s="74"/>
      <c r="G904" s="74"/>
    </row>
    <row r="905">
      <c r="A905" s="74"/>
      <c r="B905" s="74"/>
      <c r="C905" s="74"/>
      <c r="D905" s="74"/>
      <c r="E905" s="74"/>
      <c r="F905" s="74"/>
      <c r="G905" s="74"/>
    </row>
    <row r="906">
      <c r="A906" s="74"/>
      <c r="B906" s="74"/>
      <c r="C906" s="74"/>
      <c r="D906" s="74"/>
      <c r="E906" s="74"/>
      <c r="F906" s="74"/>
      <c r="G906" s="74"/>
    </row>
    <row r="907">
      <c r="A907" s="74"/>
      <c r="B907" s="74"/>
      <c r="C907" s="74"/>
      <c r="D907" s="74"/>
      <c r="E907" s="74"/>
      <c r="F907" s="74"/>
      <c r="G907" s="74"/>
    </row>
    <row r="908">
      <c r="A908" s="74"/>
      <c r="B908" s="74"/>
      <c r="C908" s="74"/>
      <c r="D908" s="74"/>
      <c r="E908" s="74"/>
      <c r="F908" s="74"/>
      <c r="G908" s="74"/>
    </row>
    <row r="909">
      <c r="A909" s="74"/>
      <c r="B909" s="74"/>
      <c r="C909" s="74"/>
      <c r="D909" s="74"/>
      <c r="E909" s="74"/>
      <c r="F909" s="74"/>
      <c r="G909" s="74"/>
    </row>
    <row r="910">
      <c r="A910" s="74"/>
      <c r="B910" s="74"/>
      <c r="C910" s="74"/>
      <c r="D910" s="74"/>
      <c r="E910" s="74"/>
      <c r="F910" s="74"/>
      <c r="G910" s="74"/>
    </row>
    <row r="911">
      <c r="A911" s="74"/>
      <c r="B911" s="74"/>
      <c r="C911" s="74"/>
      <c r="D911" s="74"/>
      <c r="E911" s="74"/>
      <c r="F911" s="74"/>
      <c r="G911" s="74"/>
    </row>
    <row r="912">
      <c r="A912" s="74"/>
      <c r="B912" s="74"/>
      <c r="C912" s="74"/>
      <c r="D912" s="74"/>
      <c r="E912" s="74"/>
      <c r="F912" s="74"/>
      <c r="G912" s="74"/>
    </row>
    <row r="913">
      <c r="A913" s="74"/>
      <c r="B913" s="74"/>
      <c r="C913" s="74"/>
      <c r="D913" s="74"/>
      <c r="E913" s="74"/>
      <c r="F913" s="74"/>
      <c r="G913" s="74"/>
    </row>
    <row r="914">
      <c r="A914" s="74"/>
      <c r="B914" s="74"/>
      <c r="C914" s="74"/>
      <c r="D914" s="74"/>
      <c r="E914" s="74"/>
      <c r="F914" s="74"/>
      <c r="G914" s="74"/>
    </row>
    <row r="915">
      <c r="A915" s="74"/>
      <c r="B915" s="74"/>
      <c r="C915" s="74"/>
      <c r="D915" s="74"/>
      <c r="E915" s="74"/>
      <c r="F915" s="74"/>
      <c r="G915" s="74"/>
    </row>
    <row r="916">
      <c r="A916" s="74"/>
      <c r="B916" s="74"/>
      <c r="C916" s="74"/>
      <c r="D916" s="74"/>
      <c r="E916" s="74"/>
      <c r="F916" s="74"/>
      <c r="G916" s="74"/>
    </row>
    <row r="917">
      <c r="A917" s="74"/>
      <c r="B917" s="74"/>
      <c r="C917" s="74"/>
      <c r="D917" s="74"/>
      <c r="E917" s="74"/>
      <c r="F917" s="74"/>
      <c r="G917" s="74"/>
    </row>
    <row r="918">
      <c r="A918" s="74"/>
      <c r="B918" s="74"/>
      <c r="C918" s="74"/>
      <c r="D918" s="74"/>
      <c r="E918" s="74"/>
      <c r="F918" s="74"/>
      <c r="G918" s="74"/>
    </row>
    <row r="919">
      <c r="A919" s="74"/>
      <c r="B919" s="74"/>
      <c r="C919" s="74"/>
      <c r="D919" s="74"/>
      <c r="E919" s="74"/>
      <c r="F919" s="74"/>
      <c r="G919" s="74"/>
    </row>
    <row r="920">
      <c r="A920" s="74"/>
      <c r="B920" s="74"/>
      <c r="C920" s="74"/>
      <c r="D920" s="74"/>
      <c r="E920" s="74"/>
      <c r="F920" s="74"/>
      <c r="G920" s="74"/>
    </row>
    <row r="921">
      <c r="A921" s="74"/>
      <c r="B921" s="74"/>
      <c r="C921" s="74"/>
      <c r="D921" s="74"/>
      <c r="E921" s="74"/>
      <c r="F921" s="74"/>
      <c r="G921" s="74"/>
    </row>
    <row r="922">
      <c r="A922" s="74"/>
      <c r="B922" s="74"/>
      <c r="C922" s="74"/>
      <c r="D922" s="74"/>
      <c r="E922" s="74"/>
      <c r="F922" s="74"/>
      <c r="G922" s="74"/>
    </row>
    <row r="923">
      <c r="A923" s="74"/>
      <c r="B923" s="74"/>
      <c r="C923" s="74"/>
      <c r="D923" s="74"/>
      <c r="E923" s="74"/>
      <c r="F923" s="74"/>
      <c r="G923" s="74"/>
    </row>
    <row r="924">
      <c r="A924" s="74"/>
      <c r="B924" s="74"/>
      <c r="C924" s="74"/>
      <c r="D924" s="74"/>
      <c r="E924" s="74"/>
      <c r="F924" s="74"/>
      <c r="G924" s="74"/>
    </row>
    <row r="925">
      <c r="A925" s="74"/>
      <c r="B925" s="74"/>
      <c r="C925" s="74"/>
      <c r="D925" s="74"/>
      <c r="E925" s="74"/>
      <c r="F925" s="74"/>
      <c r="G925" s="74"/>
    </row>
    <row r="926">
      <c r="A926" s="74"/>
      <c r="B926" s="74"/>
      <c r="C926" s="74"/>
      <c r="D926" s="74"/>
      <c r="E926" s="74"/>
      <c r="F926" s="74"/>
      <c r="G926" s="74"/>
    </row>
    <row r="927">
      <c r="A927" s="74"/>
      <c r="B927" s="74"/>
      <c r="C927" s="74"/>
      <c r="D927" s="74"/>
      <c r="E927" s="74"/>
      <c r="F927" s="74"/>
      <c r="G927" s="74"/>
    </row>
    <row r="928">
      <c r="A928" s="74"/>
      <c r="B928" s="74"/>
      <c r="C928" s="74"/>
      <c r="D928" s="74"/>
      <c r="E928" s="74"/>
      <c r="F928" s="74"/>
      <c r="G928" s="74"/>
    </row>
    <row r="929">
      <c r="A929" s="74"/>
      <c r="B929" s="74"/>
      <c r="C929" s="74"/>
      <c r="D929" s="74"/>
      <c r="E929" s="74"/>
      <c r="F929" s="74"/>
      <c r="G929" s="74"/>
    </row>
    <row r="930">
      <c r="A930" s="74"/>
      <c r="B930" s="74"/>
      <c r="C930" s="74"/>
      <c r="D930" s="74"/>
      <c r="E930" s="74"/>
      <c r="F930" s="74"/>
      <c r="G930" s="74"/>
    </row>
    <row r="931">
      <c r="A931" s="74"/>
      <c r="B931" s="74"/>
      <c r="C931" s="74"/>
      <c r="D931" s="74"/>
      <c r="E931" s="74"/>
      <c r="F931" s="74"/>
      <c r="G931" s="74"/>
    </row>
    <row r="932">
      <c r="A932" s="74"/>
      <c r="B932" s="74"/>
      <c r="C932" s="74"/>
      <c r="D932" s="74"/>
      <c r="E932" s="74"/>
      <c r="F932" s="74"/>
      <c r="G932" s="74"/>
    </row>
    <row r="933">
      <c r="A933" s="74"/>
      <c r="B933" s="74"/>
      <c r="C933" s="74"/>
      <c r="D933" s="74"/>
      <c r="E933" s="74"/>
      <c r="F933" s="74"/>
      <c r="G933" s="74"/>
    </row>
    <row r="934">
      <c r="A934" s="74"/>
      <c r="B934" s="74"/>
      <c r="C934" s="74"/>
      <c r="D934" s="74"/>
      <c r="E934" s="74"/>
      <c r="F934" s="74"/>
      <c r="G934" s="74"/>
    </row>
    <row r="935">
      <c r="A935" s="74"/>
      <c r="B935" s="74"/>
      <c r="C935" s="74"/>
      <c r="D935" s="74"/>
      <c r="E935" s="74"/>
      <c r="F935" s="74"/>
      <c r="G935" s="74"/>
    </row>
    <row r="936">
      <c r="A936" s="74"/>
      <c r="B936" s="74"/>
      <c r="C936" s="74"/>
      <c r="D936" s="74"/>
      <c r="E936" s="74"/>
      <c r="F936" s="74"/>
      <c r="G936" s="74"/>
    </row>
    <row r="937">
      <c r="A937" s="74"/>
      <c r="B937" s="74"/>
      <c r="C937" s="74"/>
      <c r="D937" s="74"/>
      <c r="E937" s="74"/>
      <c r="F937" s="74"/>
      <c r="G937" s="74"/>
    </row>
    <row r="938">
      <c r="A938" s="74"/>
      <c r="B938" s="74"/>
      <c r="C938" s="74"/>
      <c r="D938" s="74"/>
      <c r="E938" s="74"/>
      <c r="F938" s="74"/>
      <c r="G938" s="74"/>
    </row>
    <row r="939">
      <c r="A939" s="74"/>
      <c r="B939" s="74"/>
      <c r="C939" s="74"/>
      <c r="D939" s="74"/>
      <c r="E939" s="74"/>
      <c r="F939" s="74"/>
      <c r="G939" s="74"/>
    </row>
    <row r="940">
      <c r="A940" s="74"/>
      <c r="B940" s="74"/>
      <c r="C940" s="74"/>
      <c r="D940" s="74"/>
      <c r="E940" s="74"/>
      <c r="F940" s="74"/>
      <c r="G940" s="74"/>
    </row>
    <row r="941">
      <c r="A941" s="74"/>
      <c r="B941" s="74"/>
      <c r="C941" s="74"/>
      <c r="D941" s="74"/>
      <c r="E941" s="74"/>
      <c r="F941" s="74"/>
      <c r="G941" s="74"/>
    </row>
    <row r="942">
      <c r="A942" s="74"/>
      <c r="B942" s="74"/>
      <c r="C942" s="74"/>
      <c r="D942" s="74"/>
      <c r="E942" s="74"/>
      <c r="F942" s="74"/>
      <c r="G942" s="74"/>
    </row>
    <row r="943">
      <c r="A943" s="74"/>
      <c r="B943" s="74"/>
      <c r="C943" s="74"/>
      <c r="D943" s="74"/>
      <c r="E943" s="74"/>
      <c r="F943" s="74"/>
      <c r="G943" s="74"/>
    </row>
    <row r="944">
      <c r="A944" s="74"/>
      <c r="B944" s="74"/>
      <c r="C944" s="74"/>
      <c r="D944" s="74"/>
      <c r="E944" s="74"/>
      <c r="F944" s="74"/>
      <c r="G944" s="74"/>
    </row>
    <row r="945">
      <c r="A945" s="74"/>
      <c r="B945" s="74"/>
      <c r="C945" s="74"/>
      <c r="D945" s="74"/>
      <c r="E945" s="74"/>
      <c r="F945" s="74"/>
      <c r="G945" s="74"/>
    </row>
    <row r="946">
      <c r="A946" s="74"/>
      <c r="B946" s="74"/>
      <c r="C946" s="74"/>
      <c r="D946" s="74"/>
      <c r="E946" s="74"/>
      <c r="F946" s="74"/>
      <c r="G946" s="74"/>
    </row>
    <row r="947">
      <c r="A947" s="74"/>
      <c r="B947" s="74"/>
      <c r="C947" s="74"/>
      <c r="D947" s="74"/>
      <c r="E947" s="74"/>
      <c r="F947" s="74"/>
      <c r="G947" s="74"/>
    </row>
    <row r="948">
      <c r="A948" s="74"/>
      <c r="B948" s="74"/>
      <c r="C948" s="74"/>
      <c r="D948" s="74"/>
      <c r="E948" s="74"/>
      <c r="F948" s="74"/>
      <c r="G948" s="74"/>
    </row>
    <row r="949">
      <c r="A949" s="74"/>
      <c r="B949" s="74"/>
      <c r="C949" s="74"/>
      <c r="D949" s="74"/>
      <c r="E949" s="74"/>
      <c r="F949" s="74"/>
      <c r="G949" s="74"/>
    </row>
    <row r="950">
      <c r="A950" s="74"/>
      <c r="B950" s="74"/>
      <c r="C950" s="74"/>
      <c r="D950" s="74"/>
      <c r="E950" s="74"/>
      <c r="F950" s="74"/>
      <c r="G950" s="74"/>
    </row>
    <row r="951">
      <c r="A951" s="74"/>
      <c r="B951" s="74"/>
      <c r="C951" s="74"/>
      <c r="D951" s="74"/>
      <c r="E951" s="74"/>
      <c r="F951" s="74"/>
      <c r="G951" s="74"/>
    </row>
    <row r="952">
      <c r="A952" s="74"/>
      <c r="B952" s="74"/>
      <c r="C952" s="74"/>
      <c r="D952" s="74"/>
      <c r="E952" s="74"/>
      <c r="F952" s="74"/>
      <c r="G952" s="74"/>
    </row>
    <row r="953">
      <c r="A953" s="74"/>
      <c r="B953" s="74"/>
      <c r="C953" s="74"/>
      <c r="D953" s="74"/>
      <c r="E953" s="74"/>
      <c r="F953" s="74"/>
      <c r="G953" s="74"/>
    </row>
    <row r="954">
      <c r="A954" s="74"/>
      <c r="B954" s="74"/>
      <c r="C954" s="74"/>
      <c r="D954" s="74"/>
      <c r="E954" s="74"/>
      <c r="F954" s="74"/>
      <c r="G954" s="74"/>
    </row>
    <row r="955">
      <c r="A955" s="74"/>
      <c r="B955" s="74"/>
      <c r="C955" s="74"/>
      <c r="D955" s="74"/>
      <c r="E955" s="74"/>
      <c r="F955" s="74"/>
      <c r="G955" s="74"/>
    </row>
    <row r="956">
      <c r="A956" s="74"/>
      <c r="B956" s="74"/>
      <c r="C956" s="74"/>
      <c r="D956" s="74"/>
      <c r="E956" s="74"/>
      <c r="F956" s="74"/>
      <c r="G956" s="74"/>
    </row>
    <row r="957">
      <c r="A957" s="74"/>
      <c r="B957" s="74"/>
      <c r="C957" s="74"/>
      <c r="D957" s="74"/>
      <c r="E957" s="74"/>
      <c r="F957" s="74"/>
      <c r="G957" s="74"/>
    </row>
    <row r="958">
      <c r="A958" s="74"/>
      <c r="B958" s="74"/>
      <c r="C958" s="74"/>
      <c r="D958" s="74"/>
      <c r="E958" s="74"/>
      <c r="F958" s="74"/>
      <c r="G958" s="74"/>
    </row>
    <row r="959">
      <c r="A959" s="74"/>
      <c r="B959" s="74"/>
      <c r="C959" s="74"/>
      <c r="D959" s="74"/>
      <c r="E959" s="74"/>
      <c r="F959" s="74"/>
      <c r="G959" s="74"/>
    </row>
    <row r="960">
      <c r="A960" s="74"/>
      <c r="B960" s="74"/>
      <c r="C960" s="74"/>
      <c r="D960" s="74"/>
      <c r="E960" s="74"/>
      <c r="F960" s="74"/>
      <c r="G960" s="74"/>
    </row>
    <row r="961">
      <c r="A961" s="74"/>
      <c r="B961" s="74"/>
      <c r="C961" s="74"/>
      <c r="D961" s="74"/>
      <c r="E961" s="74"/>
      <c r="F961" s="74"/>
      <c r="G961" s="74"/>
    </row>
    <row r="962">
      <c r="A962" s="74"/>
      <c r="B962" s="74"/>
      <c r="C962" s="74"/>
      <c r="D962" s="74"/>
      <c r="E962" s="74"/>
      <c r="F962" s="74"/>
      <c r="G962" s="74"/>
    </row>
    <row r="963">
      <c r="A963" s="74"/>
      <c r="B963" s="74"/>
      <c r="C963" s="74"/>
      <c r="D963" s="74"/>
      <c r="E963" s="74"/>
      <c r="F963" s="74"/>
      <c r="G963" s="74"/>
    </row>
    <row r="964">
      <c r="A964" s="74"/>
      <c r="B964" s="74"/>
      <c r="C964" s="74"/>
      <c r="D964" s="74"/>
      <c r="E964" s="74"/>
      <c r="F964" s="74"/>
      <c r="G964" s="74"/>
    </row>
    <row r="965">
      <c r="A965" s="74"/>
      <c r="B965" s="74"/>
      <c r="C965" s="74"/>
      <c r="D965" s="74"/>
      <c r="E965" s="74"/>
      <c r="F965" s="74"/>
      <c r="G965" s="74"/>
    </row>
    <row r="966">
      <c r="A966" s="74"/>
      <c r="B966" s="74"/>
      <c r="C966" s="74"/>
      <c r="D966" s="74"/>
      <c r="E966" s="74"/>
      <c r="F966" s="74"/>
      <c r="G966" s="74"/>
    </row>
    <row r="967">
      <c r="A967" s="74"/>
      <c r="B967" s="74"/>
      <c r="C967" s="74"/>
      <c r="D967" s="74"/>
      <c r="E967" s="74"/>
      <c r="F967" s="74"/>
      <c r="G967" s="74"/>
    </row>
    <row r="968">
      <c r="A968" s="74"/>
      <c r="B968" s="74"/>
      <c r="C968" s="74"/>
      <c r="D968" s="74"/>
      <c r="E968" s="74"/>
      <c r="F968" s="74"/>
      <c r="G968" s="74"/>
    </row>
    <row r="969">
      <c r="A969" s="74"/>
      <c r="B969" s="74"/>
      <c r="C969" s="74"/>
      <c r="D969" s="74"/>
      <c r="E969" s="74"/>
      <c r="F969" s="74"/>
      <c r="G969" s="74"/>
    </row>
    <row r="970">
      <c r="A970" s="74"/>
      <c r="B970" s="74"/>
      <c r="C970" s="74"/>
      <c r="D970" s="74"/>
      <c r="E970" s="74"/>
      <c r="F970" s="74"/>
      <c r="G970" s="74"/>
    </row>
    <row r="971">
      <c r="A971" s="74"/>
      <c r="B971" s="74"/>
      <c r="C971" s="74"/>
      <c r="D971" s="74"/>
      <c r="E971" s="74"/>
      <c r="F971" s="74"/>
      <c r="G971" s="74"/>
    </row>
    <row r="972">
      <c r="A972" s="74"/>
      <c r="B972" s="74"/>
      <c r="C972" s="74"/>
      <c r="D972" s="74"/>
      <c r="E972" s="74"/>
      <c r="F972" s="74"/>
      <c r="G972" s="74"/>
    </row>
    <row r="973">
      <c r="A973" s="74"/>
      <c r="B973" s="74"/>
      <c r="C973" s="74"/>
      <c r="D973" s="74"/>
      <c r="E973" s="74"/>
      <c r="F973" s="74"/>
      <c r="G973" s="74"/>
    </row>
    <row r="974">
      <c r="A974" s="74"/>
      <c r="B974" s="74"/>
      <c r="C974" s="74"/>
      <c r="D974" s="74"/>
      <c r="E974" s="74"/>
      <c r="F974" s="74"/>
      <c r="G974" s="74"/>
    </row>
    <row r="975">
      <c r="A975" s="74"/>
      <c r="B975" s="74"/>
      <c r="C975" s="74"/>
      <c r="D975" s="74"/>
      <c r="E975" s="74"/>
      <c r="F975" s="74"/>
      <c r="G975" s="74"/>
    </row>
    <row r="976">
      <c r="A976" s="74"/>
      <c r="B976" s="74"/>
      <c r="C976" s="74"/>
      <c r="D976" s="74"/>
      <c r="E976" s="74"/>
      <c r="F976" s="74"/>
      <c r="G976" s="74"/>
    </row>
    <row r="977">
      <c r="A977" s="74"/>
      <c r="B977" s="74"/>
      <c r="C977" s="74"/>
      <c r="D977" s="74"/>
      <c r="E977" s="74"/>
      <c r="F977" s="74"/>
      <c r="G977" s="74"/>
    </row>
    <row r="978">
      <c r="A978" s="74"/>
      <c r="B978" s="74"/>
      <c r="C978" s="74"/>
      <c r="D978" s="74"/>
      <c r="E978" s="74"/>
      <c r="F978" s="74"/>
      <c r="G978" s="74"/>
    </row>
    <row r="979">
      <c r="A979" s="74"/>
      <c r="B979" s="74"/>
      <c r="C979" s="74"/>
      <c r="D979" s="74"/>
      <c r="E979" s="74"/>
      <c r="F979" s="74"/>
      <c r="G979" s="74"/>
    </row>
    <row r="980">
      <c r="A980" s="74"/>
      <c r="B980" s="74"/>
      <c r="C980" s="74"/>
      <c r="D980" s="74"/>
      <c r="E980" s="74"/>
      <c r="F980" s="74"/>
      <c r="G980" s="74"/>
    </row>
    <row r="981">
      <c r="A981" s="74"/>
      <c r="B981" s="74"/>
      <c r="C981" s="74"/>
      <c r="D981" s="74"/>
      <c r="E981" s="74"/>
      <c r="F981" s="74"/>
      <c r="G981" s="74"/>
    </row>
    <row r="982">
      <c r="A982" s="74"/>
      <c r="B982" s="74"/>
      <c r="C982" s="74"/>
      <c r="D982" s="74"/>
      <c r="E982" s="74"/>
      <c r="F982" s="74"/>
      <c r="G982" s="74"/>
    </row>
    <row r="983">
      <c r="A983" s="74"/>
      <c r="B983" s="74"/>
      <c r="C983" s="74"/>
      <c r="D983" s="74"/>
      <c r="E983" s="74"/>
      <c r="F983" s="74"/>
      <c r="G983" s="74"/>
    </row>
    <row r="984">
      <c r="A984" s="74"/>
      <c r="B984" s="74"/>
      <c r="C984" s="74"/>
      <c r="D984" s="74"/>
      <c r="E984" s="74"/>
      <c r="F984" s="74"/>
      <c r="G984" s="74"/>
    </row>
    <row r="985">
      <c r="A985" s="74"/>
      <c r="B985" s="74"/>
      <c r="C985" s="74"/>
      <c r="D985" s="74"/>
      <c r="E985" s="74"/>
      <c r="F985" s="74"/>
      <c r="G985" s="74"/>
    </row>
    <row r="986">
      <c r="A986" s="74"/>
      <c r="B986" s="74"/>
      <c r="C986" s="74"/>
      <c r="D986" s="74"/>
      <c r="E986" s="74"/>
      <c r="F986" s="74"/>
      <c r="G986" s="74"/>
    </row>
    <row r="987">
      <c r="A987" s="74"/>
      <c r="B987" s="74"/>
      <c r="C987" s="74"/>
      <c r="D987" s="74"/>
      <c r="E987" s="74"/>
      <c r="F987" s="74"/>
      <c r="G987" s="74"/>
    </row>
    <row r="988">
      <c r="A988" s="74"/>
      <c r="B988" s="74"/>
      <c r="C988" s="74"/>
      <c r="D988" s="74"/>
      <c r="E988" s="74"/>
      <c r="F988" s="74"/>
      <c r="G988" s="74"/>
    </row>
    <row r="989">
      <c r="A989" s="74"/>
      <c r="B989" s="74"/>
      <c r="C989" s="74"/>
      <c r="D989" s="74"/>
      <c r="E989" s="74"/>
      <c r="F989" s="74"/>
      <c r="G989" s="74"/>
    </row>
    <row r="990">
      <c r="A990" s="74"/>
      <c r="B990" s="74"/>
      <c r="C990" s="74"/>
      <c r="D990" s="74"/>
      <c r="E990" s="74"/>
      <c r="F990" s="74"/>
      <c r="G990" s="74"/>
    </row>
    <row r="991">
      <c r="A991" s="74"/>
      <c r="B991" s="74"/>
      <c r="C991" s="74"/>
      <c r="D991" s="74"/>
      <c r="E991" s="74"/>
      <c r="F991" s="74"/>
      <c r="G991" s="74"/>
    </row>
    <row r="992">
      <c r="A992" s="74"/>
      <c r="B992" s="74"/>
      <c r="C992" s="74"/>
      <c r="D992" s="74"/>
      <c r="E992" s="74"/>
      <c r="F992" s="74"/>
      <c r="G992" s="74"/>
    </row>
    <row r="993">
      <c r="A993" s="74"/>
      <c r="B993" s="74"/>
      <c r="C993" s="74"/>
      <c r="D993" s="74"/>
      <c r="E993" s="74"/>
      <c r="F993" s="74"/>
      <c r="G993" s="74"/>
    </row>
    <row r="994">
      <c r="A994" s="74"/>
      <c r="B994" s="74"/>
      <c r="C994" s="74"/>
      <c r="D994" s="74"/>
      <c r="E994" s="74"/>
      <c r="F994" s="74"/>
      <c r="G994" s="74"/>
    </row>
    <row r="995">
      <c r="A995" s="74"/>
      <c r="B995" s="74"/>
      <c r="C995" s="74"/>
      <c r="D995" s="74"/>
      <c r="E995" s="74"/>
      <c r="F995" s="74"/>
      <c r="G995" s="74"/>
    </row>
    <row r="996">
      <c r="A996" s="74"/>
      <c r="B996" s="74"/>
      <c r="C996" s="74"/>
      <c r="D996" s="74"/>
      <c r="E996" s="74"/>
      <c r="F996" s="74"/>
      <c r="G996" s="74"/>
    </row>
    <row r="997">
      <c r="A997" s="74"/>
      <c r="B997" s="74"/>
      <c r="C997" s="74"/>
      <c r="D997" s="74"/>
      <c r="E997" s="74"/>
      <c r="F997" s="74"/>
      <c r="G997" s="74"/>
    </row>
    <row r="998">
      <c r="A998" s="74"/>
      <c r="B998" s="74"/>
      <c r="C998" s="74"/>
      <c r="D998" s="74"/>
      <c r="E998" s="74"/>
      <c r="F998" s="74"/>
      <c r="G998" s="74"/>
    </row>
    <row r="999">
      <c r="A999" s="74"/>
      <c r="B999" s="74"/>
      <c r="C999" s="74"/>
      <c r="D999" s="74"/>
      <c r="E999" s="74"/>
      <c r="F999" s="74"/>
      <c r="G999" s="74"/>
    </row>
    <row r="1000">
      <c r="A1000" s="74"/>
      <c r="B1000" s="74"/>
      <c r="C1000" s="74"/>
      <c r="D1000" s="74"/>
      <c r="E1000" s="74"/>
      <c r="F1000" s="74"/>
      <c r="G1000" s="74"/>
    </row>
  </sheetData>
  <mergeCells count="1">
    <mergeCell ref="H1:I2"/>
  </mergeCells>
  <hyperlinks>
    <hyperlink r:id="rId1" ref="H12"/>
  </hyperlinks>
  <drawing r:id="rId2"/>
</worksheet>
</file>